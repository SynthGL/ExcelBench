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    <Relationship Id="rId2" Type="http://schemas.openxmlformats.org/package/2006/relationships/metadata/core-properties" Target="docProps/core.xml"/>
  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0" rupBuild="12345"/>
  <bookViews>
    <workbookView xWindow="0" yWindow="0" windowWidth="22260" windowHeight="12645"/>
  </bookViews>
  <sheets>
    <sheet name="Inputs" sheetId="1" r:id="rId1"/>
    <sheet name="Schedule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worksheet" Target="worksheets/sheet2.xml"/>
    <Relationship Id="rId3" Type="http://schemas.openxmlformats.org/officeDocument/2006/relationships/worksheet" Target="worksheets/sheet3.xml"/>
    <Relationship Id="rId100" Type="http://schemas.openxmlformats.org/officeDocument/2006/relationships/styles" Target="styles.xml"/>
    <Relationship Id="rId101" Type="http://schemas.openxmlformats.org/officeDocument/2006/relationships/sharedStrings" Target="sharedStrings.xml"/>
    <Relationship Id="rId102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52"/>
  <sheetViews>
    <sheetView tabSelected="1" workbookViewId="0"/>
  </sheetViews>
  <sheetFormatPr defaultRowHeight="15.0"/>
  <sheetData>
    <row r="1">
      <c r="A1">
        </c>
    </row>
    <row r="2">
      <c r="A2">
        </c>
      <c r="B2" s="1">
        <v>45688</v>
      </c>
    </row>
    <row r="3">
      <c r="A3">
        </c>
      <c r="B3" s="2">
        <v>0.045</v>
      </c>
    </row>
    <row r="4">
      <c r="A4">
        </c>
      <c r="B4" s="2">
        <v>0.62</v>
      </c>
    </row>
    <row r="5">
      <c r="A5">
        </c>
      <c r="B5">
        <v>12000</v>
      </c>
    </row>
    <row r="6">
      <c r="A6">
        </c>
      <c r="B6" s="2">
        <v>0.24</v>
      </c>
    </row>
    <row r="7">
      <c r="A7">
        </c>
      <c r="B7" s="2">
        <v>0.1</v>
      </c>
    </row>
    <row r="8">
      <c r="A8">
        </c>
      <c r="B8">
        </c>
    </row>
    <row r="9">
      <c r="A9">
        </c>
      <c r="B9">
        </c>
    </row>
    <row r="12">
      <c r="A12">
        </c>
      <c r="B12">
        </c>
      <c r="C12">
        </c>
      <c r="D12">
        </c>
      <c r="E12">
        </c>
      <c r="F12">
        </c>
    </row>
    <row r="13">
      <c r="A13">
        <v>1</v>
      </c>
      <c r="B13">
        </c>
      <c r="C13">
        <v>20</v>
      </c>
      <c r="D13">
        <v>125.25</v>
      </c>
      <c r="E13" s="1">
        <v>45658</v>
      </c>
      <c r="F13">
        </c>
    </row>
    <row r="14">
      <c r="A14">
        <v>2</v>
      </c>
      <c r="B14">
        </c>
      <c r="C14">
        <v>27</v>
      </c>
      <c r="D14">
        <v>138.25</v>
      </c>
      <c r="E14" s="1">
        <v>45689</v>
      </c>
      <c r="F14">
        </c>
    </row>
    <row r="15">
      <c r="A15">
        <v>3</v>
      </c>
      <c r="B15">
        </c>
      <c r="C15">
        <v>34</v>
      </c>
      <c r="D15">
        <v>151.25</v>
      </c>
      <c r="E15" s="1">
        <v>45717</v>
      </c>
      <c r="F15">
        </c>
    </row>
    <row r="16">
      <c r="A16">
        <v>4</v>
      </c>
      <c r="B16">
        </c>
      <c r="C16">
        <v>41</v>
      </c>
      <c r="D16">
        <v>164.25</v>
      </c>
      <c r="E16" s="1">
        <v>45748</v>
      </c>
      <c r="F16">
        </c>
    </row>
    <row r="17">
      <c r="A17">
        <v>5</v>
      </c>
      <c r="B17">
        </c>
      <c r="C17">
        <v>48</v>
      </c>
      <c r="D17">
        <v>177.25</v>
      </c>
      <c r="E17" s="1">
        <v>45778</v>
      </c>
      <c r="F17">
        </c>
    </row>
    <row r="18">
      <c r="A18">
        <v>6</v>
      </c>
      <c r="B18">
        </c>
      <c r="C18">
        <v>20</v>
      </c>
      <c r="D18">
        <v>190.25</v>
      </c>
      <c r="E18" s="1">
        <v>45809</v>
      </c>
      <c r="F18">
        </c>
    </row>
    <row r="19">
      <c r="A19">
        <v>7</v>
      </c>
      <c r="B19">
        </c>
      <c r="C19">
        <v>27</v>
      </c>
      <c r="D19">
        <v>203.25</v>
      </c>
      <c r="E19" s="1">
        <v>45839</v>
      </c>
      <c r="F19">
        </c>
    </row>
    <row r="20">
      <c r="A20">
        <v>8</v>
      </c>
      <c r="B20">
        </c>
      <c r="C20">
        <v>34</v>
      </c>
      <c r="D20">
        <v>216.25</v>
      </c>
      <c r="E20" s="1">
        <v>45870</v>
      </c>
      <c r="F20">
        </c>
    </row>
    <row r="21">
      <c r="A21">
        <v>9</v>
      </c>
      <c r="B21">
        </c>
      <c r="C21">
        <v>41</v>
      </c>
      <c r="D21">
        <v>229.25</v>
      </c>
      <c r="E21" s="1">
        <v>45901</v>
      </c>
      <c r="F21">
        </c>
    </row>
    <row r="22">
      <c r="A22">
        <v>10</v>
      </c>
      <c r="B22">
        </c>
      <c r="C22">
        <v>48</v>
      </c>
      <c r="D22">
        <v>242.25</v>
      </c>
      <c r="E22" s="1">
        <v>45931</v>
      </c>
      <c r="F22">
        </c>
    </row>
    <row r="23">
      <c r="A23">
        <v>11</v>
      </c>
      <c r="B23">
        </c>
      <c r="C23">
        <v>20</v>
      </c>
      <c r="D23">
        <v>255.25</v>
      </c>
      <c r="E23" s="1">
        <v>45962</v>
      </c>
      <c r="F23">
        </c>
    </row>
    <row r="24">
      <c r="A24">
        <v>12</v>
      </c>
      <c r="B24">
        </c>
      <c r="C24">
        <v>27</v>
      </c>
      <c r="D24">
        <v>268.25</v>
      </c>
      <c r="E24" s="1">
        <v>45992</v>
      </c>
      <c r="F24">
        </c>
    </row>
    <row r="25">
      <c r="A25">
        <v>13</v>
      </c>
      <c r="B25">
        </c>
      <c r="C25">
        <v>34</v>
      </c>
      <c r="D25">
        <v>281.25</v>
      </c>
      <c r="E25" s="1">
        <v>45658</v>
      </c>
      <c r="F25">
        </c>
    </row>
    <row r="26">
      <c r="A26">
        <v>14</v>
      </c>
      <c r="B26">
        </c>
      <c r="C26">
        <v>41</v>
      </c>
      <c r="D26">
        <v>294.25</v>
      </c>
      <c r="E26" s="1">
        <v>45689</v>
      </c>
      <c r="F26">
        </c>
    </row>
    <row r="27">
      <c r="A27">
        <v>15</v>
      </c>
      <c r="B27">
        </c>
      <c r="C27">
        <v>48</v>
      </c>
      <c r="D27">
        <v>137.25</v>
      </c>
      <c r="E27" s="1">
        <v>45717</v>
      </c>
      <c r="F27">
        </c>
    </row>
    <row r="28">
      <c r="A28">
        <v>16</v>
      </c>
      <c r="B28">
        </c>
      <c r="C28">
        <v>20</v>
      </c>
      <c r="D28">
        <v>150.25</v>
      </c>
      <c r="E28" s="1">
        <v>45748</v>
      </c>
      <c r="F28">
        </c>
    </row>
    <row r="29">
      <c r="A29">
        <v>17</v>
      </c>
      <c r="B29">
        </c>
      <c r="C29">
        <v>27</v>
      </c>
      <c r="D29">
        <v>163.25</v>
      </c>
      <c r="E29" s="1">
        <v>45778</v>
      </c>
      <c r="F29">
        </c>
    </row>
    <row r="30">
      <c r="A30">
        <v>18</v>
      </c>
      <c r="B30">
        </c>
      <c r="C30">
        <v>34</v>
      </c>
      <c r="D30">
        <v>176.25</v>
      </c>
      <c r="E30" s="1">
        <v>45809</v>
      </c>
      <c r="F30">
        </c>
    </row>
    <row r="31">
      <c r="A31">
        <v>19</v>
      </c>
      <c r="B31">
        </c>
      <c r="C31">
        <v>41</v>
      </c>
      <c r="D31">
        <v>189.25</v>
      </c>
      <c r="E31" s="1">
        <v>45839</v>
      </c>
      <c r="F31">
        </c>
    </row>
    <row r="32">
      <c r="A32">
        <v>20</v>
      </c>
      <c r="B32">
        </c>
      <c r="C32">
        <v>48</v>
      </c>
      <c r="D32">
        <v>202.25</v>
      </c>
      <c r="E32" s="1">
        <v>45870</v>
      </c>
      <c r="F32">
        </c>
    </row>
    <row r="33">
      <c r="A33">
        <v>21</v>
      </c>
      <c r="B33">
        </c>
      <c r="C33">
        <v>20</v>
      </c>
      <c r="D33">
        <v>215.25</v>
      </c>
      <c r="E33" s="1">
        <v>45901</v>
      </c>
      <c r="F33">
        </c>
    </row>
    <row r="34">
      <c r="A34">
        <v>22</v>
      </c>
      <c r="B34">
        </c>
      <c r="C34">
        <v>27</v>
      </c>
      <c r="D34">
        <v>228.25</v>
      </c>
      <c r="E34" s="1">
        <v>45931</v>
      </c>
      <c r="F34">
        </c>
    </row>
    <row r="35">
      <c r="A35">
        <v>23</v>
      </c>
      <c r="B35">
        </c>
      <c r="C35">
        <v>34</v>
      </c>
      <c r="D35">
        <v>241.25</v>
      </c>
      <c r="E35" s="1">
        <v>45962</v>
      </c>
      <c r="F35">
        </c>
    </row>
    <row r="36">
      <c r="A36">
        <v>24</v>
      </c>
      <c r="B36">
        </c>
      <c r="C36">
        <v>41</v>
      </c>
      <c r="D36">
        <v>254.25</v>
      </c>
      <c r="E36" s="1">
        <v>45992</v>
      </c>
      <c r="F36">
        </c>
    </row>
    <row r="37">
      <c r="A37">
        <v>25</v>
      </c>
      <c r="B37">
        </c>
      <c r="C37">
        <v>48</v>
      </c>
      <c r="D37">
        <v>267.25</v>
      </c>
      <c r="E37" s="1">
        <v>45658</v>
      </c>
      <c r="F37">
        </c>
    </row>
    <row r="38">
      <c r="A38">
        <v>26</v>
      </c>
      <c r="B38">
        </c>
      <c r="C38">
        <v>20</v>
      </c>
      <c r="D38">
        <v>280.25</v>
      </c>
      <c r="E38" s="1">
        <v>45689</v>
      </c>
      <c r="F38">
        </c>
    </row>
    <row r="39">
      <c r="A39">
        <v>27</v>
      </c>
      <c r="B39">
        </c>
      <c r="C39">
        <v>27</v>
      </c>
      <c r="D39">
        <v>293.25</v>
      </c>
      <c r="E39" s="1">
        <v>45717</v>
      </c>
      <c r="F39">
        </c>
    </row>
    <row r="40">
      <c r="A40">
        <v>28</v>
      </c>
      <c r="B40">
        </c>
      <c r="C40">
        <v>34</v>
      </c>
      <c r="D40">
        <v>136.25</v>
      </c>
      <c r="E40" s="1">
        <v>45748</v>
      </c>
      <c r="F40">
        </c>
    </row>
    <row r="41">
      <c r="A41">
        <v>29</v>
      </c>
      <c r="B41">
        </c>
      <c r="C41">
        <v>41</v>
      </c>
      <c r="D41">
        <v>149.25</v>
      </c>
      <c r="E41" s="1">
        <v>45778</v>
      </c>
      <c r="F41">
        </c>
    </row>
    <row r="42">
      <c r="A42">
        <v>30</v>
      </c>
      <c r="B42">
        </c>
      <c r="C42">
        <v>48</v>
      </c>
      <c r="D42">
        <v>162.25</v>
      </c>
      <c r="E42" s="1">
        <v>45809</v>
      </c>
      <c r="F42">
        </c>
    </row>
    <row r="43">
      <c r="A43">
        <v>31</v>
      </c>
      <c r="B43">
        </c>
      <c r="C43">
        <v>20</v>
      </c>
      <c r="D43">
        <v>175.25</v>
      </c>
      <c r="E43" s="1">
        <v>45839</v>
      </c>
      <c r="F43">
        </c>
    </row>
    <row r="44">
      <c r="A44">
        <v>32</v>
      </c>
      <c r="B44">
        </c>
      <c r="C44">
        <v>27</v>
      </c>
      <c r="D44">
        <v>188.25</v>
      </c>
      <c r="E44" s="1">
        <v>45870</v>
      </c>
      <c r="F44">
        </c>
    </row>
    <row r="45">
      <c r="A45">
        <v>33</v>
      </c>
      <c r="B45">
        </c>
      <c r="C45">
        <v>34</v>
      </c>
      <c r="D45">
        <v>201.25</v>
      </c>
      <c r="E45" s="1">
        <v>45901</v>
      </c>
      <c r="F45">
        </c>
    </row>
    <row r="46">
      <c r="A46">
        <v>34</v>
      </c>
      <c r="B46">
        </c>
      <c r="C46">
        <v>41</v>
      </c>
      <c r="D46">
        <v>214.25</v>
      </c>
      <c r="E46" s="1">
        <v>45931</v>
      </c>
      <c r="F46">
        </c>
    </row>
    <row r="47">
      <c r="A47">
        <v>35</v>
      </c>
      <c r="B47">
        </c>
      <c r="C47">
        <v>48</v>
      </c>
      <c r="D47">
        <v>227.25</v>
      </c>
      <c r="E47" s="1">
        <v>45962</v>
      </c>
      <c r="F47">
        </c>
    </row>
    <row r="48">
      <c r="A48">
        <v>36</v>
      </c>
      <c r="B48">
        </c>
      <c r="C48">
        <v>20</v>
      </c>
      <c r="D48">
        <v>240.25</v>
      </c>
      <c r="E48" s="1">
        <v>45992</v>
      </c>
      <c r="F48">
        </c>
    </row>
    <row r="49">
      <c r="A49">
        <v>37</v>
      </c>
      <c r="B49">
        </c>
      <c r="C49">
        <v>27</v>
      </c>
      <c r="D49">
        <v>253.25</v>
      </c>
      <c r="E49" s="1">
        <v>45658</v>
      </c>
      <c r="F49">
        </c>
    </row>
    <row r="50">
      <c r="A50">
        <v>38</v>
      </c>
      <c r="B50">
        </c>
      <c r="C50">
        <v>34</v>
      </c>
      <c r="D50">
        <v>266.25</v>
      </c>
      <c r="E50" s="1">
        <v>45689</v>
      </c>
      <c r="F50">
        </c>
    </row>
    <row r="51">
      <c r="A51">
        <v>39</v>
      </c>
      <c r="B51">
        </c>
      <c r="C51">
        <v>41</v>
      </c>
      <c r="D51">
        <v>279.25</v>
      </c>
      <c r="E51" s="1">
        <v>45717</v>
      </c>
      <c r="F51">
        </c>
    </row>
    <row r="52">
      <c r="A52">
        <v>40</v>
      </c>
      <c r="B52">
        </c>
      <c r="C52">
        <v>48</v>
      </c>
      <c r="D52">
        <v>292.25</v>
      </c>
      <c r="E52" s="1">
        <v>45748</v>
      </c>
      <c r="F52">
        </c>
    </row>
  </sheetData>
  <pageMargins left="0.75" right="0.75" top="1.0" bottom="1.0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M11"/>
  <sheetViews>
    <sheetView workbookViewId="0"/>
  </sheetViews>
  <sheetFormatPr defaultRowHeight="15.0"/>
  <sheetData>
    <row r="1">
      <c r="A1">
  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>
      <c r="A2">
        </c>
      <c r="B2">
        <f>100000*(1+Inputs!$B$3)^(B$1-1)</f>
      </c>
      <c r="C2">
        <f>100000*(1+Inputs!$B$3)^(C$1-1)</f>
      </c>
      <c r="D2">
        <f>100000*(1+Inputs!$B$3)^(D$1-1)</f>
      </c>
      <c r="E2">
        <f>100000*(1+Inputs!$B$3)^(E$1-1)</f>
      </c>
      <c r="F2">
        <f>100000*(1+Inputs!$B$3)^(F$1-1)</f>
      </c>
      <c r="G2">
        <f>100000*(1+Inputs!$B$3)^(G$1-1)</f>
      </c>
      <c r="H2">
        <f>100000*(1+Inputs!$B$3)^(H$1-1)</f>
      </c>
      <c r="I2">
        <f>100000*(1+Inputs!$B$3)^(I$1-1)</f>
      </c>
      <c r="J2">
        <f>100000*(1+Inputs!$B$3)^(J$1-1)</f>
      </c>
      <c r="K2">
        <f>100000*(1+Inputs!$B$3)^(K$1-1)</f>
      </c>
      <c r="L2">
        <f>100000*(1+Inputs!$B$3)^(L$1-1)</f>
      </c>
      <c r="M2">
        <f>100000*(1+Inputs!$B$3)^(M$1-1)</f>
      </c>
    </row>
    <row r="3">
      <c r="A3">
        </c>
      <c r="B3">
        <f>B2*(1-Inputs!$B$4)</f>
      </c>
      <c r="C3">
        <f>C2*(1-Inputs!$B$4)</f>
      </c>
      <c r="D3">
        <f>D2*(1-Inputs!$B$4)</f>
      </c>
      <c r="E3">
        <f>E2*(1-Inputs!$B$4)</f>
      </c>
      <c r="F3">
        <f>F2*(1-Inputs!$B$4)</f>
      </c>
      <c r="G3">
        <f>G2*(1-Inputs!$B$4)</f>
      </c>
      <c r="H3">
        <f>H2*(1-Inputs!$B$4)</f>
      </c>
      <c r="I3">
        <f>I2*(1-Inputs!$B$4)</f>
      </c>
      <c r="J3">
        <f>J2*(1-Inputs!$B$4)</f>
      </c>
      <c r="K3">
        <f>K2*(1-Inputs!$B$4)</f>
      </c>
      <c r="L3">
        <f>L2*(1-Inputs!$B$4)</f>
      </c>
      <c r="M3">
        <f>M2*(1-Inputs!$B$4)</f>
      </c>
    </row>
    <row r="4">
      <c r="A4">
  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</row>
    <row r="5">
      <c r="A5">
        </c>
      <c r="B5">
        <f>Inputs!$B$5</f>
      </c>
      <c r="C5">
        <f>Inputs!$B$5</f>
      </c>
      <c r="D5">
        <f>Inputs!$B$5</f>
      </c>
      <c r="E5">
        <f>Inputs!$B$5</f>
      </c>
      <c r="F5">
        <f>Inputs!$B$5</f>
      </c>
      <c r="G5">
        <f>Inputs!$B$5</f>
      </c>
      <c r="H5">
        <f>Inputs!$B$5</f>
      </c>
      <c r="I5">
        <f>Inputs!$B$5</f>
      </c>
      <c r="J5">
        <f>Inputs!$B$5</f>
      </c>
      <c r="K5">
        <f>Inputs!$B$5</f>
      </c>
      <c r="L5">
        <f>Inputs!$B$5</f>
      </c>
      <c r="M5">
        <f>Inputs!$B$5</f>
      </c>
    </row>
    <row r="6">
      <c r="A6">
        </c>
      <c r="B6">
        <f>SUMIF(Inputs!$B$13:$B$52,Inputs!$B$8,Inputs!$C$13:$C$52)</f>
      </c>
      <c r="C6">
        <f>SUMIF(Inputs!$B$13:$B$52,Inputs!$B$8,Inputs!$C$13:$C$52)</f>
      </c>
      <c r="D6">
        <f>SUMIF(Inputs!$B$13:$B$52,Inputs!$B$8,Inputs!$C$13:$C$52)</f>
      </c>
      <c r="E6">
        <f>SUMIF(Inputs!$B$13:$B$52,Inputs!$B$8,Inputs!$C$13:$C$52)</f>
      </c>
      <c r="F6">
        <f>SUMIF(Inputs!$B$13:$B$52,Inputs!$B$8,Inputs!$C$13:$C$52)</f>
      </c>
      <c r="G6">
        <f>SUMIF(Inputs!$B$13:$B$52,Inputs!$B$8,Inputs!$C$13:$C$52)</f>
      </c>
      <c r="H6">
        <f>SUMIF(Inputs!$B$13:$B$52,Inputs!$B$8,Inputs!$C$13:$C$52)</f>
      </c>
      <c r="I6">
        <f>SUMIF(Inputs!$B$13:$B$52,Inputs!$B$8,Inputs!$C$13:$C$52)</f>
      </c>
      <c r="J6">
        <f>SUMIF(Inputs!$B$13:$B$52,Inputs!$B$8,Inputs!$C$13:$C$52)</f>
      </c>
      <c r="K6">
        <f>SUMIF(Inputs!$B$13:$B$52,Inputs!$B$8,Inputs!$C$13:$C$52)</f>
      </c>
      <c r="L6">
        <f>SUMIF(Inputs!$B$13:$B$52,Inputs!$B$8,Inputs!$C$13:$C$52)</f>
      </c>
      <c r="M6">
        <f>SUMIF(Inputs!$B$13:$B$52,Inputs!$B$8,Inputs!$C$13:$C$52)</f>
      </c>
    </row>
    <row r="7">
      <c r="A7">
        </c>
      <c r="B7">
        <f>SUMIFS(Inputs!$D$13:$D$52,Inputs!$B$13:$B$52,Inputs!$B$8,Inputs!$F$13:$F$52,Inputs!$B$9)</f>
      </c>
      <c r="C7">
        <f>SUMIFS(Inputs!$D$13:$D$52,Inputs!$B$13:$B$52,Inputs!$B$8,Inputs!$F$13:$F$52,Inputs!$B$9)</f>
      </c>
      <c r="D7">
        <f>SUMIFS(Inputs!$D$13:$D$52,Inputs!$B$13:$B$52,Inputs!$B$8,Inputs!$F$13:$F$52,Inputs!$B$9)</f>
      </c>
      <c r="E7">
        <f>SUMIFS(Inputs!$D$13:$D$52,Inputs!$B$13:$B$52,Inputs!$B$8,Inputs!$F$13:$F$52,Inputs!$B$9)</f>
      </c>
      <c r="F7">
        <f>SUMIFS(Inputs!$D$13:$D$52,Inputs!$B$13:$B$52,Inputs!$B$8,Inputs!$F$13:$F$52,Inputs!$B$9)</f>
      </c>
      <c r="G7">
        <f>SUMIFS(Inputs!$D$13:$D$52,Inputs!$B$13:$B$52,Inputs!$B$8,Inputs!$F$13:$F$52,Inputs!$B$9)</f>
      </c>
      <c r="H7">
        <f>SUMIFS(Inputs!$D$13:$D$52,Inputs!$B$13:$B$52,Inputs!$B$8,Inputs!$F$13:$F$52,Inputs!$B$9)</f>
      </c>
      <c r="I7">
        <f>SUMIFS(Inputs!$D$13:$D$52,Inputs!$B$13:$B$52,Inputs!$B$8,Inputs!$F$13:$F$52,Inputs!$B$9)</f>
      </c>
      <c r="J7">
        <f>SUMIFS(Inputs!$D$13:$D$52,Inputs!$B$13:$B$52,Inputs!$B$8,Inputs!$F$13:$F$52,Inputs!$B$9)</f>
      </c>
      <c r="K7">
        <f>SUMIFS(Inputs!$D$13:$D$52,Inputs!$B$13:$B$52,Inputs!$B$8,Inputs!$F$13:$F$52,Inputs!$B$9)</f>
      </c>
      <c r="L7">
        <f>SUMIFS(Inputs!$D$13:$D$52,Inputs!$B$13:$B$52,Inputs!$B$8,Inputs!$F$13:$F$52,Inputs!$B$9)</f>
      </c>
      <c r="M7">
        <f>SUMIFS(Inputs!$D$13:$D$52,Inputs!$B$13:$B$52,Inputs!$B$8,Inputs!$F$13:$F$52,Inputs!$B$9)</f>
      </c>
    </row>
    <row r="8">
      <c r="A8">
        </c>
      <c r="B8">
        <f>B3+B5+B6*B7+SUM(0)</f>
      </c>
      <c r="C8">
        <f>C3+C5+C6*C7+SUM(0)</f>
      </c>
      <c r="D8">
        <f>D3+D5+D6*D7+SUM(0)</f>
      </c>
      <c r="E8">
        <f>E3+E5+E6*E7+SUM(0)</f>
      </c>
      <c r="F8">
        <f>F3+F5+F6*F7+SUM(0)</f>
      </c>
      <c r="G8">
        <f>G3+G5+G6*G7+SUM(0)</f>
      </c>
      <c r="H8">
        <f>H3+H5+H6*H7+SUM(0)</f>
      </c>
      <c r="I8">
        <f>I3+I5+I6*I7+SUM(0)</f>
      </c>
      <c r="J8">
        <f>J3+J5+J6*J7+SUM(0)</f>
      </c>
      <c r="K8">
        <f>K3+K5+K6*K7+SUM(0)</f>
      </c>
      <c r="L8">
        <f>L3+L5+L6*L7+SUM(0)</f>
      </c>
      <c r="M8">
        <f>M3+M5+M6*M7+SUM(0)</f>
      </c>
    </row>
    <row r="9">
      <c r="A9">
        </c>
      <c r="B9">
        <f>B2-B8</f>
      </c>
      <c r="C9">
        <f>C2-C8</f>
      </c>
      <c r="D9">
        <f>D2-D8</f>
      </c>
      <c r="E9">
        <f>E2-E8</f>
      </c>
      <c r="F9">
        <f>F2-F8</f>
      </c>
      <c r="G9">
        <f>G2-G8</f>
      </c>
      <c r="H9">
        <f>H2-H8</f>
      </c>
      <c r="I9">
        <f>I2-I8</f>
      </c>
      <c r="J9">
        <f>J2-J8</f>
      </c>
      <c r="K9">
        <f>K2-K8</f>
      </c>
      <c r="L9">
        <f>L2-L8</f>
      </c>
      <c r="M9">
        <f>M2-M8</f>
      </c>
    </row>
    <row r="10">
      <c r="A10">
        </c>
      <c r="B10">
        <f>IF(B9&gt;0,B9*Inputs!$B$6,0)</f>
      </c>
      <c r="C10">
        <f>IF(C9&gt;0,C9*Inputs!$B$6,0)</f>
      </c>
      <c r="D10">
        <f>IF(D9&gt;0,D9*Inputs!$B$6,0)</f>
      </c>
      <c r="E10">
        <f>IF(E9&gt;0,E9*Inputs!$B$6,0)</f>
      </c>
      <c r="F10">
        <f>IF(F9&gt;0,F9*Inputs!$B$6,0)</f>
      </c>
      <c r="G10">
        <f>IF(G9&gt;0,G9*Inputs!$B$6,0)</f>
      </c>
      <c r="H10">
        <f>IF(H9&gt;0,H9*Inputs!$B$6,0)</f>
      </c>
      <c r="I10">
        <f>IF(I9&gt;0,I9*Inputs!$B$6,0)</f>
      </c>
      <c r="J10">
        <f>IF(J9&gt;0,J9*Inputs!$B$6,0)</f>
      </c>
      <c r="K10">
        <f>IF(K9&gt;0,K9*Inputs!$B$6,0)</f>
      </c>
      <c r="L10">
        <f>IF(L9&gt;0,L9*Inputs!$B$6,0)</f>
      </c>
      <c r="M10">
        <f>IF(M9&gt;0,M9*Inputs!$B$6,0)</f>
      </c>
    </row>
    <row r="11">
      <c r="A11">
        </c>
      <c r="B11">
        <f>B9-B10-B2*0.08</f>
      </c>
      <c r="C11">
        <f>C9-C10-C2*0.08</f>
      </c>
      <c r="D11">
        <f>D9-D10-D2*0.08</f>
      </c>
      <c r="E11">
        <f>E9-E10-E2*0.08</f>
      </c>
      <c r="F11">
        <f>F9-F10-F2*0.08</f>
      </c>
      <c r="G11">
        <f>G9-G10-G2*0.08</f>
      </c>
      <c r="H11">
        <f>H9-H10-H2*0.08</f>
      </c>
      <c r="I11">
        <f>I9-I10-I2*0.08</f>
      </c>
      <c r="J11">
        <f>J9-J10-J2*0.08</f>
      </c>
      <c r="K11">
        <f>K9-K10-K2*0.08</f>
      </c>
      <c r="L11">
        <f>L9-L10-L2*0.08</f>
      </c>
      <c r="M11">
        <f>M9-M10-M2*0.08</f>
      </c>
    </row>
  </sheetData>
  <pageMargins left="0.75" right="0.75" top="1.0" bottom="1.0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18"/>
  <sheetViews>
    <sheetView workbookViewId="0"/>
  </sheetViews>
  <sheetFormatPr defaultRowHeight="15.0"/>
  <sheetData>
    <row r="1">
      <c r="A1">
        </c>
      <c r="B1">
        </c>
    </row>
    <row r="2">
      <c r="A2">
        </c>
      <c r="B2">
        <f>IF(SUM(Schedule!B11:M11)&gt;0,1,0)</f>
      </c>
    </row>
    <row r="3">
      <c r="A3">
        </c>
      <c r="B3">
        <f>IF(Inputs!$B$3&gt;=0.05,3,IF(Inputs!$B$3&gt;=0.03,2,1))</f>
      </c>
    </row>
    <row r="4">
      <c r="A4">
        </c>
      <c r="B4">
        <f>MIN(Schedule!B9:M9)</f>
      </c>
    </row>
    <row r="5">
      <c r="A5">
        </c>
      <c r="B5">
        <f>MAX(Schedule!B9:M9)</f>
      </c>
    </row>
    <row r="6">
      <c r="A6">
        </c>
      <c r="B6">
        <f>ROUND(AVERAGE(Schedule!B11:M11),2)</f>
      </c>
    </row>
    <row r="7">
      <c r="A7">
        </c>
      <c r="B7">
        <f>VLOOKUP("Enterprise",Inputs!$B$13:$D$52,2,FALSE)</f>
      </c>
    </row>
    <row r="8">
      <c r="A8">
        </c>
      <c r="B8">
        <f>INDEX(Inputs!$D$13:$D$52,MATCH("Enterprise",Inputs!$B$13:$B$52,0))</f>
      </c>
    </row>
    <row r="10">
      <c r="A10">
        </c>
      <c r="B10">
        <f>NPV(Inputs!$B$7,Schedule!B11:M11)</f>
      </c>
    </row>
    <row r="11">
      <c r="A11">
        </c>
      <c r="B11">
        <f>IRR(B18:N18)</f>
      </c>
    </row>
    <row r="12">
      <c r="A12">
        </c>
      <c r="B12">
        <f>EDATE(Inputs!$B$2,3)</f>
      </c>
    </row>
    <row r="13">
      <c r="A13">
        </c>
      <c r="B13">
        <f>EOMONTH(Inputs!$B$2,3)</f>
      </c>
    </row>
    <row r="14">
      <c r="A14">
        </c>
      <c r="B14">
        <f>COUNTIF(Inputs!$B$13:$B$52,"Enterprise")</f>
      </c>
    </row>
    <row r="15">
      <c r="A15">
        </c>
      <c r="B15">
        <f>COUNTIFS(Inputs!$B$13:$B$52,"Enterprise",Inputs!$F$13:$F$52,"West")</f>
      </c>
    </row>
    <row r="17">
      <c r="A17">
        </c>
    </row>
    <row r="18">
      <c r="B18">
        <v>-100000</v>
      </c>
      <c r="C18">
        <v>16500</v>
      </c>
      <c r="D18">
        <v>18000</v>
      </c>
      <c r="E18">
        <v>20500</v>
      </c>
      <c r="F18">
        <v>23000</v>
      </c>
      <c r="G18">
        <v>25000</v>
      </c>
      <c r="H18">
        <v>27000</v>
      </c>
      <c r="I18">
        <v>29500</v>
      </c>
      <c r="J18">
        <v>31500</v>
      </c>
      <c r="K18">
        <v>34000</v>
      </c>
      <c r="L18">
        <v>36000</v>
      </c>
      <c r="M18">
        <v>38500</v>
      </c>
      <c r="N18">
        <v>41000</v>
      </c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AppVersion>3.1</AppVersion>
  <LinksUpToDate>false</LinksUpToDate>
  <SharedDoc>false</SharedDoc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Schedule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2026-09-08T05:33:27Z</dcterms:created>
  <dcterms:modified xsi:type="dcterms:W3CDTF">2026-09-08T05:33:27Z</dcterms:modified>
</cp:coreProperties>
</file>