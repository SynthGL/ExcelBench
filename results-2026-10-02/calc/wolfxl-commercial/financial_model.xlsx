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calcChain.xml><?xml version="1.0" encoding="utf-8"?>
<calcChain xmlns="http://schemas.openxmlformats.org/spreadsheetml/2006/main">
  <c r="B2" i="2"/>
  <c r="C2" i="2"/>
  <c r="D2" i="2"/>
  <c r="E2" i="2"/>
  <c r="F2" i="2"/>
  <c r="G2" i="2"/>
  <c r="H2" i="2"/>
  <c r="I2" i="2"/>
  <c r="J2" i="2"/>
  <c r="K2" i="2"/>
  <c r="L2" i="2"/>
  <c r="M2" i="2"/>
  <c r="B3" i="2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2" i="3"/>
  <c r="B3" i="3"/>
  <c r="B4" i="3"/>
  <c r="B5" i="3"/>
  <c r="B6" i="3"/>
  <c r="B7" i="3"/>
  <c r="B8" i="3"/>
  <c r="B10" i="3"/>
  <c r="B11" i="3"/>
  <c r="B12" i="3"/>
  <c r="B13" i="3"/>
  <c r="B14" i="3"/>
  <c r="B15" i="3"/>
</calcChain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2">
      <c r="A2" t="inlineStr">
        <is>
          <t>Start Date</t>
        </is>
      </c>
      <c r="B2" s="1" t="n">
        <v>45688</v>
      </c>
    </row>
    <row r="3">
      <c r="A3" t="inlineStr">
        <is>
          <t>Revenue Growth</t>
        </is>
      </c>
      <c r="B3" s="2" t="n">
        <v>0.045</v>
      </c>
    </row>
    <row r="4">
      <c r="A4" t="inlineStr">
        <is>
          <t>Gross Margin</t>
        </is>
      </c>
      <c r="B4" s="2" t="n">
        <v>0.62</v>
      </c>
    </row>
    <row r="5">
      <c r="A5" t="inlineStr">
        <is>
          <t>Fixed Costs</t>
        </is>
      </c>
      <c r="B5" t="n">
        <v>12000</v>
      </c>
    </row>
    <row r="6">
      <c r="A6" t="inlineStr">
        <is>
          <t>Tax Rate</t>
        </is>
      </c>
      <c r="B6" s="2" t="n">
        <v>0.24</v>
      </c>
    </row>
    <row r="7">
      <c r="A7" t="inlineStr">
        <is>
          <t>Discount Rate</t>
        </is>
      </c>
      <c r="B7" s="2" t="n">
        <v>0.1</v>
      </c>
    </row>
    <row r="8">
      <c r="A8" t="inlineStr">
        <is>
          <t>Target Category</t>
        </is>
      </c>
      <c r="B8" t="inlineStr">
        <is>
          <t>Enterprise</t>
        </is>
      </c>
    </row>
    <row r="9">
      <c r="A9" t="inlineStr">
        <is>
          <t>Target Region</t>
        </is>
      </c>
      <c r="B9" t="inlineStr">
        <is>
          <t>West</t>
        </is>
      </c>
    </row>
    <row r="12">
      <c r="A12" t="inlineStr">
        <is>
          <t>Record</t>
        </is>
      </c>
      <c r="B12" t="inlineStr">
        <is>
          <t>Category</t>
        </is>
      </c>
      <c r="C12" t="inlineStr">
        <is>
          <t>Units</t>
        </is>
      </c>
      <c r="D12" t="inlineStr">
        <is>
          <t>Price</t>
        </is>
      </c>
      <c r="E12" t="inlineStr">
        <is>
          <t>Launch Date</t>
        </is>
      </c>
      <c r="F12" t="inlineStr">
        <is>
          <t>Region</t>
        </is>
      </c>
    </row>
    <row r="13">
      <c r="A13" t="n">
        <v>1</v>
      </c>
      <c r="B13" t="inlineStr">
        <is>
          <t>Enterprise</t>
        </is>
      </c>
      <c r="C13" t="n">
        <v>20</v>
      </c>
      <c r="D13" t="n">
        <v>125.25</v>
      </c>
      <c r="E13" s="1" t="n">
        <v>45658</v>
      </c>
      <c r="F13" t="inlineStr">
        <is>
          <t>West</t>
        </is>
      </c>
    </row>
    <row r="14">
      <c r="A14" t="n">
        <v>2</v>
      </c>
      <c r="B14" t="inlineStr">
        <is>
          <t>SMB</t>
        </is>
      </c>
      <c r="C14" t="n">
        <v>27</v>
      </c>
      <c r="D14" t="n">
        <v>138.25</v>
      </c>
      <c r="E14" s="1" t="n">
        <v>45689</v>
      </c>
      <c r="F14" t="inlineStr">
        <is>
          <t>East</t>
        </is>
      </c>
    </row>
    <row r="15">
      <c r="A15" t="n">
        <v>3</v>
      </c>
      <c r="B15" t="inlineStr">
        <is>
          <t>Consumer</t>
        </is>
      </c>
      <c r="C15" t="n">
        <v>34</v>
      </c>
      <c r="D15" t="n">
        <v>151.25</v>
      </c>
      <c r="E15" s="1" t="n">
        <v>45717</v>
      </c>
      <c r="F15" t="inlineStr">
        <is>
          <t>South</t>
        </is>
      </c>
    </row>
    <row r="16">
      <c r="A16" t="n">
        <v>4</v>
      </c>
      <c r="B16" t="inlineStr">
        <is>
          <t>Enterprise</t>
        </is>
      </c>
      <c r="C16" t="n">
        <v>41</v>
      </c>
      <c r="D16" t="n">
        <v>164.25</v>
      </c>
      <c r="E16" s="1" t="n">
        <v>45748</v>
      </c>
      <c r="F16" t="inlineStr">
        <is>
          <t>North</t>
        </is>
      </c>
    </row>
    <row r="17">
      <c r="A17" t="n">
        <v>5</v>
      </c>
      <c r="B17" t="inlineStr">
        <is>
          <t>SMB</t>
        </is>
      </c>
      <c r="C17" t="n">
        <v>48</v>
      </c>
      <c r="D17" t="n">
        <v>177.25</v>
      </c>
      <c r="E17" s="1" t="n">
        <v>45778</v>
      </c>
      <c r="F17" t="inlineStr">
        <is>
          <t>West</t>
        </is>
      </c>
    </row>
    <row r="18">
      <c r="A18" t="n">
        <v>6</v>
      </c>
      <c r="B18" t="inlineStr">
        <is>
          <t>Enterprise</t>
        </is>
      </c>
      <c r="C18" t="n">
        <v>20</v>
      </c>
      <c r="D18" t="n">
        <v>190.25</v>
      </c>
      <c r="E18" s="1" t="n">
        <v>45809</v>
      </c>
      <c r="F18" t="inlineStr">
        <is>
          <t>East</t>
        </is>
      </c>
    </row>
    <row r="19">
      <c r="A19" t="n">
        <v>7</v>
      </c>
      <c r="B19" t="inlineStr">
        <is>
          <t>SMB</t>
        </is>
      </c>
      <c r="C19" t="n">
        <v>27</v>
      </c>
      <c r="D19" t="n">
        <v>203.25</v>
      </c>
      <c r="E19" s="1" t="n">
        <v>45839</v>
      </c>
      <c r="F19" t="inlineStr">
        <is>
          <t>South</t>
        </is>
      </c>
    </row>
    <row r="20">
      <c r="A20" t="n">
        <v>8</v>
      </c>
      <c r="B20" t="inlineStr">
        <is>
          <t>Consumer</t>
        </is>
      </c>
      <c r="C20" t="n">
        <v>34</v>
      </c>
      <c r="D20" t="n">
        <v>216.25</v>
      </c>
      <c r="E20" s="1" t="n">
        <v>45870</v>
      </c>
      <c r="F20" t="inlineStr">
        <is>
          <t>North</t>
        </is>
      </c>
    </row>
    <row r="21">
      <c r="A21" t="n">
        <v>9</v>
      </c>
      <c r="B21" t="inlineStr">
        <is>
          <t>Enterprise</t>
        </is>
      </c>
      <c r="C21" t="n">
        <v>41</v>
      </c>
      <c r="D21" t="n">
        <v>229.25</v>
      </c>
      <c r="E21" s="1" t="n">
        <v>45901</v>
      </c>
      <c r="F21" t="inlineStr">
        <is>
          <t>West</t>
        </is>
      </c>
    </row>
    <row r="22">
      <c r="A22" t="n">
        <v>10</v>
      </c>
      <c r="B22" t="inlineStr">
        <is>
          <t>SMB</t>
        </is>
      </c>
      <c r="C22" t="n">
        <v>48</v>
      </c>
      <c r="D22" t="n">
        <v>242.25</v>
      </c>
      <c r="E22" s="1" t="n">
        <v>45931</v>
      </c>
      <c r="F22" t="inlineStr">
        <is>
          <t>East</t>
        </is>
      </c>
    </row>
    <row r="23">
      <c r="A23" t="n">
        <v>11</v>
      </c>
      <c r="B23" t="inlineStr">
        <is>
          <t>Enterprise</t>
        </is>
      </c>
      <c r="C23" t="n">
        <v>20</v>
      </c>
      <c r="D23" t="n">
        <v>255.25</v>
      </c>
      <c r="E23" s="1" t="n">
        <v>45962</v>
      </c>
      <c r="F23" t="inlineStr">
        <is>
          <t>South</t>
        </is>
      </c>
    </row>
    <row r="24">
      <c r="A24" t="n">
        <v>12</v>
      </c>
      <c r="B24" t="inlineStr">
        <is>
          <t>SMB</t>
        </is>
      </c>
      <c r="C24" t="n">
        <v>27</v>
      </c>
      <c r="D24" t="n">
        <v>268.25</v>
      </c>
      <c r="E24" s="1" t="n">
        <v>45992</v>
      </c>
      <c r="F24" t="inlineStr">
        <is>
          <t>North</t>
        </is>
      </c>
    </row>
    <row r="25">
      <c r="A25" t="n">
        <v>13</v>
      </c>
      <c r="B25" t="inlineStr">
        <is>
          <t>Consumer</t>
        </is>
      </c>
      <c r="C25" t="n">
        <v>34</v>
      </c>
      <c r="D25" t="n">
        <v>281.25</v>
      </c>
      <c r="E25" s="1" t="n">
        <v>45658</v>
      </c>
      <c r="F25" t="inlineStr">
        <is>
          <t>West</t>
        </is>
      </c>
    </row>
    <row r="26">
      <c r="A26" t="n">
        <v>14</v>
      </c>
      <c r="B26" t="inlineStr">
        <is>
          <t>Enterprise</t>
        </is>
      </c>
      <c r="C26" t="n">
        <v>41</v>
      </c>
      <c r="D26" t="n">
        <v>294.25</v>
      </c>
      <c r="E26" s="1" t="n">
        <v>45689</v>
      </c>
      <c r="F26" t="inlineStr">
        <is>
          <t>East</t>
        </is>
      </c>
    </row>
    <row r="27">
      <c r="A27" t="n">
        <v>15</v>
      </c>
      <c r="B27" t="inlineStr">
        <is>
          <t>SMB</t>
        </is>
      </c>
      <c r="C27" t="n">
        <v>48</v>
      </c>
      <c r="D27" t="n">
        <v>137.25</v>
      </c>
      <c r="E27" s="1" t="n">
        <v>45717</v>
      </c>
      <c r="F27" t="inlineStr">
        <is>
          <t>South</t>
        </is>
      </c>
    </row>
    <row r="28">
      <c r="A28" t="n">
        <v>16</v>
      </c>
      <c r="B28" t="inlineStr">
        <is>
          <t>Enterprise</t>
        </is>
      </c>
      <c r="C28" t="n">
        <v>20</v>
      </c>
      <c r="D28" t="n">
        <v>150.25</v>
      </c>
      <c r="E28" s="1" t="n">
        <v>45748</v>
      </c>
      <c r="F28" t="inlineStr">
        <is>
          <t>North</t>
        </is>
      </c>
    </row>
    <row r="29">
      <c r="A29" t="n">
        <v>17</v>
      </c>
      <c r="B29" t="inlineStr">
        <is>
          <t>SMB</t>
        </is>
      </c>
      <c r="C29" t="n">
        <v>27</v>
      </c>
      <c r="D29" t="n">
        <v>163.25</v>
      </c>
      <c r="E29" s="1" t="n">
        <v>45778</v>
      </c>
      <c r="F29" t="inlineStr">
        <is>
          <t>West</t>
        </is>
      </c>
    </row>
    <row r="30">
      <c r="A30" t="n">
        <v>18</v>
      </c>
      <c r="B30" t="inlineStr">
        <is>
          <t>Consumer</t>
        </is>
      </c>
      <c r="C30" t="n">
        <v>34</v>
      </c>
      <c r="D30" t="n">
        <v>176.25</v>
      </c>
      <c r="E30" s="1" t="n">
        <v>45809</v>
      </c>
      <c r="F30" t="inlineStr">
        <is>
          <t>East</t>
        </is>
      </c>
    </row>
    <row r="31">
      <c r="A31" t="n">
        <v>19</v>
      </c>
      <c r="B31" t="inlineStr">
        <is>
          <t>Enterprise</t>
        </is>
      </c>
      <c r="C31" t="n">
        <v>41</v>
      </c>
      <c r="D31" t="n">
        <v>189.25</v>
      </c>
      <c r="E31" s="1" t="n">
        <v>45839</v>
      </c>
      <c r="F31" t="inlineStr">
        <is>
          <t>South</t>
        </is>
      </c>
    </row>
    <row r="32">
      <c r="A32" t="n">
        <v>20</v>
      </c>
      <c r="B32" t="inlineStr">
        <is>
          <t>SMB</t>
        </is>
      </c>
      <c r="C32" t="n">
        <v>48</v>
      </c>
      <c r="D32" t="n">
        <v>202.25</v>
      </c>
      <c r="E32" s="1" t="n">
        <v>45870</v>
      </c>
      <c r="F32" t="inlineStr">
        <is>
          <t>North</t>
        </is>
      </c>
    </row>
    <row r="33">
      <c r="A33" t="n">
        <v>21</v>
      </c>
      <c r="B33" t="inlineStr">
        <is>
          <t>Enterprise</t>
        </is>
      </c>
      <c r="C33" t="n">
        <v>20</v>
      </c>
      <c r="D33" t="n">
        <v>215.25</v>
      </c>
      <c r="E33" s="1" t="n">
        <v>45901</v>
      </c>
      <c r="F33" t="inlineStr">
        <is>
          <t>West</t>
        </is>
      </c>
    </row>
    <row r="34">
      <c r="A34" t="n">
        <v>22</v>
      </c>
      <c r="B34" t="inlineStr">
        <is>
          <t>SMB</t>
        </is>
      </c>
      <c r="C34" t="n">
        <v>27</v>
      </c>
      <c r="D34" t="n">
        <v>228.25</v>
      </c>
      <c r="E34" s="1" t="n">
        <v>45931</v>
      </c>
      <c r="F34" t="inlineStr">
        <is>
          <t>East</t>
        </is>
      </c>
    </row>
    <row r="35">
      <c r="A35" t="n">
        <v>23</v>
      </c>
      <c r="B35" t="inlineStr">
        <is>
          <t>Consumer</t>
        </is>
      </c>
      <c r="C35" t="n">
        <v>34</v>
      </c>
      <c r="D35" t="n">
        <v>241.25</v>
      </c>
      <c r="E35" s="1" t="n">
        <v>45962</v>
      </c>
      <c r="F35" t="inlineStr">
        <is>
          <t>South</t>
        </is>
      </c>
    </row>
    <row r="36">
      <c r="A36" t="n">
        <v>24</v>
      </c>
      <c r="B36" t="inlineStr">
        <is>
          <t>Enterprise</t>
        </is>
      </c>
      <c r="C36" t="n">
        <v>41</v>
      </c>
      <c r="D36" t="n">
        <v>254.25</v>
      </c>
      <c r="E36" s="1" t="n">
        <v>45992</v>
      </c>
      <c r="F36" t="inlineStr">
        <is>
          <t>North</t>
        </is>
      </c>
    </row>
    <row r="37">
      <c r="A37" t="n">
        <v>25</v>
      </c>
      <c r="B37" t="inlineStr">
        <is>
          <t>SMB</t>
        </is>
      </c>
      <c r="C37" t="n">
        <v>48</v>
      </c>
      <c r="D37" t="n">
        <v>267.25</v>
      </c>
      <c r="E37" s="1" t="n">
        <v>45658</v>
      </c>
      <c r="F37" t="inlineStr">
        <is>
          <t>West</t>
        </is>
      </c>
    </row>
    <row r="38">
      <c r="A38" t="n">
        <v>26</v>
      </c>
      <c r="B38" t="inlineStr">
        <is>
          <t>Enterprise</t>
        </is>
      </c>
      <c r="C38" t="n">
        <v>20</v>
      </c>
      <c r="D38" t="n">
        <v>280.25</v>
      </c>
      <c r="E38" s="1" t="n">
        <v>45689</v>
      </c>
      <c r="F38" t="inlineStr">
        <is>
          <t>East</t>
        </is>
      </c>
    </row>
    <row r="39">
      <c r="A39" t="n">
        <v>27</v>
      </c>
      <c r="B39" t="inlineStr">
        <is>
          <t>SMB</t>
        </is>
      </c>
      <c r="C39" t="n">
        <v>27</v>
      </c>
      <c r="D39" t="n">
        <v>293.25</v>
      </c>
      <c r="E39" s="1" t="n">
        <v>45717</v>
      </c>
      <c r="F39" t="inlineStr">
        <is>
          <t>South</t>
        </is>
      </c>
    </row>
    <row r="40">
      <c r="A40" t="n">
        <v>28</v>
      </c>
      <c r="B40" t="inlineStr">
        <is>
          <t>Consumer</t>
        </is>
      </c>
      <c r="C40" t="n">
        <v>34</v>
      </c>
      <c r="D40" t="n">
        <v>136.25</v>
      </c>
      <c r="E40" s="1" t="n">
        <v>45748</v>
      </c>
      <c r="F40" t="inlineStr">
        <is>
          <t>North</t>
        </is>
      </c>
    </row>
    <row r="41">
      <c r="A41" t="n">
        <v>29</v>
      </c>
      <c r="B41" t="inlineStr">
        <is>
          <t>Enterprise</t>
        </is>
      </c>
      <c r="C41" t="n">
        <v>41</v>
      </c>
      <c r="D41" t="n">
        <v>149.25</v>
      </c>
      <c r="E41" s="1" t="n">
        <v>45778</v>
      </c>
      <c r="F41" t="inlineStr">
        <is>
          <t>West</t>
        </is>
      </c>
    </row>
    <row r="42">
      <c r="A42" t="n">
        <v>30</v>
      </c>
      <c r="B42" t="inlineStr">
        <is>
          <t>SMB</t>
        </is>
      </c>
      <c r="C42" t="n">
        <v>48</v>
      </c>
      <c r="D42" t="n">
        <v>162.25</v>
      </c>
      <c r="E42" s="1" t="n">
        <v>45809</v>
      </c>
      <c r="F42" t="inlineStr">
        <is>
          <t>East</t>
        </is>
      </c>
    </row>
    <row r="43">
      <c r="A43" t="n">
        <v>31</v>
      </c>
      <c r="B43" t="inlineStr">
        <is>
          <t>Enterprise</t>
        </is>
      </c>
      <c r="C43" t="n">
        <v>20</v>
      </c>
      <c r="D43" t="n">
        <v>175.25</v>
      </c>
      <c r="E43" s="1" t="n">
        <v>45839</v>
      </c>
      <c r="F43" t="inlineStr">
        <is>
          <t>South</t>
        </is>
      </c>
    </row>
    <row r="44">
      <c r="A44" t="n">
        <v>32</v>
      </c>
      <c r="B44" t="inlineStr">
        <is>
          <t>SMB</t>
        </is>
      </c>
      <c r="C44" t="n">
        <v>27</v>
      </c>
      <c r="D44" t="n">
        <v>188.25</v>
      </c>
      <c r="E44" s="1" t="n">
        <v>45870</v>
      </c>
      <c r="F44" t="inlineStr">
        <is>
          <t>North</t>
        </is>
      </c>
    </row>
    <row r="45">
      <c r="A45" t="n">
        <v>33</v>
      </c>
      <c r="B45" t="inlineStr">
        <is>
          <t>Consumer</t>
        </is>
      </c>
      <c r="C45" t="n">
        <v>34</v>
      </c>
      <c r="D45" t="n">
        <v>201.25</v>
      </c>
      <c r="E45" s="1" t="n">
        <v>45901</v>
      </c>
      <c r="F45" t="inlineStr">
        <is>
          <t>West</t>
        </is>
      </c>
    </row>
    <row r="46">
      <c r="A46" t="n">
        <v>34</v>
      </c>
      <c r="B46" t="inlineStr">
        <is>
          <t>Enterprise</t>
        </is>
      </c>
      <c r="C46" t="n">
        <v>41</v>
      </c>
      <c r="D46" t="n">
        <v>214.25</v>
      </c>
      <c r="E46" s="1" t="n">
        <v>45931</v>
      </c>
      <c r="F46" t="inlineStr">
        <is>
          <t>East</t>
        </is>
      </c>
    </row>
    <row r="47">
      <c r="A47" t="n">
        <v>35</v>
      </c>
      <c r="B47" t="inlineStr">
        <is>
          <t>SMB</t>
        </is>
      </c>
      <c r="C47" t="n">
        <v>48</v>
      </c>
      <c r="D47" t="n">
        <v>227.25</v>
      </c>
      <c r="E47" s="1" t="n">
        <v>45962</v>
      </c>
      <c r="F47" t="inlineStr">
        <is>
          <t>South</t>
        </is>
      </c>
    </row>
    <row r="48">
      <c r="A48" t="n">
        <v>36</v>
      </c>
      <c r="B48" t="inlineStr">
        <is>
          <t>Enterprise</t>
        </is>
      </c>
      <c r="C48" t="n">
        <v>20</v>
      </c>
      <c r="D48" t="n">
        <v>240.25</v>
      </c>
      <c r="E48" s="1" t="n">
        <v>45992</v>
      </c>
      <c r="F48" t="inlineStr">
        <is>
          <t>North</t>
        </is>
      </c>
    </row>
    <row r="49">
      <c r="A49" t="n">
        <v>37</v>
      </c>
      <c r="B49" t="inlineStr">
        <is>
          <t>SMB</t>
        </is>
      </c>
      <c r="C49" t="n">
        <v>27</v>
      </c>
      <c r="D49" t="n">
        <v>253.25</v>
      </c>
      <c r="E49" s="1" t="n">
        <v>45658</v>
      </c>
      <c r="F49" t="inlineStr">
        <is>
          <t>West</t>
        </is>
      </c>
    </row>
    <row r="50">
      <c r="A50" t="n">
        <v>38</v>
      </c>
      <c r="B50" t="inlineStr">
        <is>
          <t>Consumer</t>
        </is>
      </c>
      <c r="C50" t="n">
        <v>34</v>
      </c>
      <c r="D50" t="n">
        <v>266.25</v>
      </c>
      <c r="E50" s="1" t="n">
        <v>45689</v>
      </c>
      <c r="F50" t="inlineStr">
        <is>
          <t>East</t>
        </is>
      </c>
    </row>
    <row r="51">
      <c r="A51" t="n">
        <v>39</v>
      </c>
      <c r="B51" t="inlineStr">
        <is>
          <t>Enterprise</t>
        </is>
      </c>
      <c r="C51" t="n">
        <v>41</v>
      </c>
      <c r="D51" t="n">
        <v>279.25</v>
      </c>
      <c r="E51" s="1" t="n">
        <v>45717</v>
      </c>
      <c r="F51" t="inlineStr">
        <is>
          <t>South</t>
        </is>
      </c>
    </row>
    <row r="52">
      <c r="A52" t="n">
        <v>40</v>
      </c>
      <c r="B52" t="inlineStr">
        <is>
          <t>SMB</t>
        </is>
      </c>
      <c r="C52" t="n">
        <v>48</v>
      </c>
      <c r="D52" t="n">
        <v>292.25</v>
      </c>
      <c r="E52" s="1" t="n">
        <v>45748</v>
      </c>
      <c r="F52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Revenue</t>
        </is>
      </c>
      <c r="B2">
        <f>100000*(1+Inputs!$B$3)^(B$1-1)</f>
        <v>100000</v>
      </c>
      <c r="C2">
        <f>100000*(1+Inputs!$B$3)^(C$1-1)</f>
        <v>104500</v>
      </c>
      <c r="D2">
        <f>100000*(1+Inputs!$B$3)^(D$1-1)</f>
        <v>109202.49999999999</v>
      </c>
      <c r="E2">
        <f>100000*(1+Inputs!$B$3)^(E$1-1)</f>
        <v>114116.61249999997</v>
      </c>
      <c r="F2">
        <f>100000*(1+Inputs!$B$3)^(F$1-1)</f>
        <v>119251.86006249997</v>
      </c>
      <c r="G2">
        <f>100000*(1+Inputs!$B$3)^(G$1-1)</f>
        <v>124618.19376531246</v>
      </c>
      <c r="H2">
        <f>100000*(1+Inputs!$B$3)^(H$1-1)</f>
        <v>130226.01248475153</v>
      </c>
      <c r="I2">
        <f>100000*(1+Inputs!$B$3)^(I$1-1)</f>
        <v>136086.18304656533</v>
      </c>
      <c r="J2">
        <f>100000*(1+Inputs!$B$3)^(J$1-1)</f>
        <v>142210.06128366073</v>
      </c>
      <c r="K2">
        <f>100000*(1+Inputs!$B$3)^(K$1-1)</f>
        <v>148609.51404142546</v>
      </c>
      <c r="L2">
        <f>100000*(1+Inputs!$B$3)^(L$1-1)</f>
        <v>155296.9421732896</v>
      </c>
      <c r="M2">
        <f>100000*(1+Inputs!$B$3)^(M$1-1)</f>
        <v>162285.30457108762</v>
      </c>
    </row>
    <row r="3">
      <c r="A3" t="inlineStr">
        <is>
          <t>Cost of Goods Sold</t>
        </is>
      </c>
      <c r="B3">
        <f>B2*(1-Inputs!$B$4)</f>
        <v>38000</v>
      </c>
      <c r="C3">
        <f>C2*(1-Inputs!$B$4)</f>
        <v>39710</v>
      </c>
      <c r="D3">
        <f>D2*(1-Inputs!$B$4)</f>
        <v>41496.95</v>
      </c>
      <c r="E3">
        <f>E2*(1-Inputs!$B$4)</f>
        <v>43364.31274999999</v>
      </c>
      <c r="F3">
        <f>F2*(1-Inputs!$B$4)</f>
        <v>45315.70682374999</v>
      </c>
      <c r="G3">
        <f>G2*(1-Inputs!$B$4)</f>
        <v>47354.91363081874</v>
      </c>
      <c r="H3">
        <f>H2*(1-Inputs!$B$4)</f>
        <v>49485.88474420558</v>
      </c>
      <c r="I3">
        <f>I2*(1-Inputs!$B$4)</f>
        <v>51712.74955769483</v>
      </c>
      <c r="J3">
        <f>J2*(1-Inputs!$B$4)</f>
        <v>54039.82328779108</v>
      </c>
      <c r="K3">
        <f>K2*(1-Inputs!$B$4)</f>
        <v>56471.61533574168</v>
      </c>
      <c r="L3">
        <f>L2*(1-Inputs!$B$4)</f>
        <v>59012.83802585005</v>
      </c>
      <c r="M3">
        <f>M2*(1-Inputs!$B$4)</f>
        <v>61668.415737013296</v>
      </c>
    </row>
    <row r="4">
      <c r="A4" t="inlineStr">
        <is>
          <t>Gross Profit</t>
        </is>
      </c>
      <c r="B4">
        <f>B2-B3</f>
        <v>62000</v>
      </c>
      <c r="C4">
        <f>C2-C3</f>
        <v>64790</v>
      </c>
      <c r="D4">
        <f>D2-D3</f>
        <v>67705.54999999999</v>
      </c>
      <c r="E4">
        <f>E2-E3</f>
        <v>70752.29974999998</v>
      </c>
      <c r="F4">
        <f>F2-F3</f>
        <v>73936.15323874998</v>
      </c>
      <c r="G4">
        <f>G2-G3</f>
        <v>77263.28013449372</v>
      </c>
      <c r="H4">
        <f>H2-H3</f>
        <v>80740.12774054596</v>
      </c>
      <c r="I4">
        <f>I2-I3</f>
        <v>84373.4334888705</v>
      </c>
      <c r="J4">
        <f>J2-J3</f>
        <v>88170.23799586965</v>
      </c>
      <c r="K4">
        <f>K2-K3</f>
        <v>92137.89870568378</v>
      </c>
      <c r="L4">
        <f>L2-L3</f>
        <v>96284.10414743956</v>
      </c>
      <c r="M4">
        <f>M2-M3</f>
        <v>100616.88883407431</v>
      </c>
    </row>
    <row r="5">
      <c r="A5" t="inlineStr">
        <is>
          <t>Fixed Costs</t>
        </is>
      </c>
      <c r="B5">
        <f>Inputs!$B$5</f>
        <v>12000</v>
      </c>
      <c r="C5">
        <f>Inputs!$B$5</f>
        <v>12000</v>
      </c>
      <c r="D5">
        <f>Inputs!$B$5</f>
        <v>12000</v>
      </c>
      <c r="E5">
        <f>Inputs!$B$5</f>
        <v>12000</v>
      </c>
      <c r="F5">
        <f>Inputs!$B$5</f>
        <v>12000</v>
      </c>
      <c r="G5">
        <f>Inputs!$B$5</f>
        <v>12000</v>
      </c>
      <c r="H5">
        <f>Inputs!$B$5</f>
        <v>12000</v>
      </c>
      <c r="I5">
        <f>Inputs!$B$5</f>
        <v>12000</v>
      </c>
      <c r="J5">
        <f>Inputs!$B$5</f>
        <v>12000</v>
      </c>
      <c r="K5">
        <f>Inputs!$B$5</f>
        <v>12000</v>
      </c>
      <c r="L5">
        <f>Inputs!$B$5</f>
        <v>12000</v>
      </c>
      <c r="M5">
        <f>Inputs!$B$5</f>
        <v>12000</v>
      </c>
    </row>
    <row r="6">
      <c r="A6" t="inlineStr">
        <is>
          <t>Target Units</t>
        </is>
      </c>
      <c r="B6">
        <f>SUMIF(Inputs!$B$13:$B$52,Inputs!$B$8,Inputs!$C$13:$C$52)</f>
        <v>488</v>
      </c>
      <c r="C6">
        <f>SUMIF(Inputs!$B$13:$B$52,Inputs!$B$8,Inputs!$C$13:$C$52)</f>
        <v>488</v>
      </c>
      <c r="D6">
        <f>SUMIF(Inputs!$B$13:$B$52,Inputs!$B$8,Inputs!$C$13:$C$52)</f>
        <v>488</v>
      </c>
      <c r="E6">
        <f>SUMIF(Inputs!$B$13:$B$52,Inputs!$B$8,Inputs!$C$13:$C$52)</f>
        <v>488</v>
      </c>
      <c r="F6">
        <f>SUMIF(Inputs!$B$13:$B$52,Inputs!$B$8,Inputs!$C$13:$C$52)</f>
        <v>488</v>
      </c>
      <c r="G6">
        <f>SUMIF(Inputs!$B$13:$B$52,Inputs!$B$8,Inputs!$C$13:$C$52)</f>
        <v>488</v>
      </c>
      <c r="H6">
        <f>SUMIF(Inputs!$B$13:$B$52,Inputs!$B$8,Inputs!$C$13:$C$52)</f>
        <v>488</v>
      </c>
      <c r="I6">
        <f>SUMIF(Inputs!$B$13:$B$52,Inputs!$B$8,Inputs!$C$13:$C$52)</f>
        <v>488</v>
      </c>
      <c r="J6">
        <f>SUMIF(Inputs!$B$13:$B$52,Inputs!$B$8,Inputs!$C$13:$C$52)</f>
        <v>488</v>
      </c>
      <c r="K6">
        <f>SUMIF(Inputs!$B$13:$B$52,Inputs!$B$8,Inputs!$C$13:$C$52)</f>
        <v>488</v>
      </c>
      <c r="L6">
        <f>SUMIF(Inputs!$B$13:$B$52,Inputs!$B$8,Inputs!$C$13:$C$52)</f>
        <v>488</v>
      </c>
      <c r="M6">
        <f>SUMIF(Inputs!$B$13:$B$52,Inputs!$B$8,Inputs!$C$13:$C$52)</f>
        <v>488</v>
      </c>
    </row>
    <row r="7">
      <c r="A7" t="inlineStr">
        <is>
          <t>Target Regional Price</t>
        </is>
      </c>
      <c r="B7">
        <f>SUMIFS(Inputs!$D$13:$D$52,Inputs!$B$13:$B$52,Inputs!$B$8,Inputs!$F$13:$F$52,Inputs!$B$9)</f>
        <v>719</v>
      </c>
      <c r="C7">
        <f>SUMIFS(Inputs!$D$13:$D$52,Inputs!$B$13:$B$52,Inputs!$B$8,Inputs!$F$13:$F$52,Inputs!$B$9)</f>
        <v>719</v>
      </c>
      <c r="D7">
        <f>SUMIFS(Inputs!$D$13:$D$52,Inputs!$B$13:$B$52,Inputs!$B$8,Inputs!$F$13:$F$52,Inputs!$B$9)</f>
        <v>719</v>
      </c>
      <c r="E7">
        <f>SUMIFS(Inputs!$D$13:$D$52,Inputs!$B$13:$B$52,Inputs!$B$8,Inputs!$F$13:$F$52,Inputs!$B$9)</f>
        <v>719</v>
      </c>
      <c r="F7">
        <f>SUMIFS(Inputs!$D$13:$D$52,Inputs!$B$13:$B$52,Inputs!$B$8,Inputs!$F$13:$F$52,Inputs!$B$9)</f>
        <v>719</v>
      </c>
      <c r="G7">
        <f>SUMIFS(Inputs!$D$13:$D$52,Inputs!$B$13:$B$52,Inputs!$B$8,Inputs!$F$13:$F$52,Inputs!$B$9)</f>
        <v>719</v>
      </c>
      <c r="H7">
        <f>SUMIFS(Inputs!$D$13:$D$52,Inputs!$B$13:$B$52,Inputs!$B$8,Inputs!$F$13:$F$52,Inputs!$B$9)</f>
        <v>719</v>
      </c>
      <c r="I7">
        <f>SUMIFS(Inputs!$D$13:$D$52,Inputs!$B$13:$B$52,Inputs!$B$8,Inputs!$F$13:$F$52,Inputs!$B$9)</f>
        <v>719</v>
      </c>
      <c r="J7">
        <f>SUMIFS(Inputs!$D$13:$D$52,Inputs!$B$13:$B$52,Inputs!$B$8,Inputs!$F$13:$F$52,Inputs!$B$9)</f>
        <v>719</v>
      </c>
      <c r="K7">
        <f>SUMIFS(Inputs!$D$13:$D$52,Inputs!$B$13:$B$52,Inputs!$B$8,Inputs!$F$13:$F$52,Inputs!$B$9)</f>
        <v>719</v>
      </c>
      <c r="L7">
        <f>SUMIFS(Inputs!$D$13:$D$52,Inputs!$B$13:$B$52,Inputs!$B$8,Inputs!$F$13:$F$52,Inputs!$B$9)</f>
        <v>719</v>
      </c>
      <c r="M7">
        <f>SUMIFS(Inputs!$D$13:$D$52,Inputs!$B$13:$B$52,Inputs!$B$8,Inputs!$F$13:$F$52,Inputs!$B$9)</f>
        <v>719</v>
      </c>
    </row>
    <row r="8">
      <c r="A8" t="inlineStr">
        <is>
          <t>Operating Costs</t>
        </is>
      </c>
      <c r="B8">
        <f>B3+B5+B6*B7+SUM(0)</f>
        <v>400872</v>
      </c>
      <c r="C8">
        <f>C3+C5+C6*C7+SUM(0)</f>
        <v>402582</v>
      </c>
      <c r="D8">
        <f>D3+D5+D6*D7+SUM(0)</f>
        <v>404368.95</v>
      </c>
      <c r="E8">
        <f>E3+E5+E6*E7+SUM(0)</f>
        <v>406236.31275</v>
      </c>
      <c r="F8">
        <f>F3+F5+F6*F7+SUM(0)</f>
        <v>408187.70682375</v>
      </c>
      <c r="G8">
        <f>G3+G5+G6*G7+SUM(0)</f>
        <v>410226.9136308187</v>
      </c>
      <c r="H8">
        <f>H3+H5+H6*H7+SUM(0)</f>
        <v>412357.88474420557</v>
      </c>
      <c r="I8">
        <f>I3+I5+I6*I7+SUM(0)</f>
        <v>414584.7495576948</v>
      </c>
      <c r="J8">
        <f>J3+J5+J6*J7+SUM(0)</f>
        <v>416911.8232877911</v>
      </c>
      <c r="K8">
        <f>K3+K5+K6*K7+SUM(0)</f>
        <v>419343.61533574166</v>
      </c>
      <c r="L8">
        <f>L3+L5+L6*L7+SUM(0)</f>
        <v>421884.83802585</v>
      </c>
      <c r="M8">
        <f>M3+M5+M6*M7+SUM(0)</f>
        <v>424540.41573701333</v>
      </c>
    </row>
    <row r="9">
      <c r="A9" t="inlineStr">
        <is>
          <t>EBITDA</t>
        </is>
      </c>
      <c r="B9">
        <f>B2-B8</f>
        <v>-300872</v>
      </c>
      <c r="C9">
        <f>C2-C8</f>
        <v>-298082</v>
      </c>
      <c r="D9">
        <f>D2-D8</f>
        <v>-295166.45</v>
      </c>
      <c r="E9">
        <f>E2-E8</f>
        <v>-292119.70025</v>
      </c>
      <c r="F9">
        <f>F2-F8</f>
        <v>-288935.84676125005</v>
      </c>
      <c r="G9">
        <f>G2-G8</f>
        <v>-285608.7198655063</v>
      </c>
      <c r="H9">
        <f>H2-H8</f>
        <v>-282131.87225945404</v>
      </c>
      <c r="I9">
        <f>I2-I8</f>
        <v>-278498.5665111295</v>
      </c>
      <c r="J9">
        <f>J2-J8</f>
        <v>-274701.7620041304</v>
      </c>
      <c r="K9">
        <f>K2-K8</f>
        <v>-270734.10129431623</v>
      </c>
      <c r="L9">
        <f>L2-L8</f>
        <v>-266587.8958525604</v>
      </c>
      <c r="M9">
        <f>M2-M8</f>
        <v>-262255.11116592574</v>
      </c>
    </row>
    <row r="10">
      <c r="A10" t="inlineStr">
        <is>
          <t>Tax</t>
        </is>
      </c>
      <c r="B10">
        <f>IF(B9&gt;0,B9*Inputs!$B$6,0)</f>
        <v>0</v>
      </c>
      <c r="C10">
        <f>IF(C9&gt;0,C9*Inputs!$B$6,0)</f>
        <v>0</v>
      </c>
      <c r="D10">
        <f>IF(D9&gt;0,D9*Inputs!$B$6,0)</f>
        <v>0</v>
      </c>
      <c r="E10">
        <f>IF(E9&gt;0,E9*Inputs!$B$6,0)</f>
        <v>0</v>
      </c>
      <c r="F10">
        <f>IF(F9&gt;0,F9*Inputs!$B$6,0)</f>
        <v>0</v>
      </c>
      <c r="G10">
        <f>IF(G9&gt;0,G9*Inputs!$B$6,0)</f>
        <v>0</v>
      </c>
      <c r="H10">
        <f>IF(H9&gt;0,H9*Inputs!$B$6,0)</f>
        <v>0</v>
      </c>
      <c r="I10">
        <f>IF(I9&gt;0,I9*Inputs!$B$6,0)</f>
        <v>0</v>
      </c>
      <c r="J10">
        <f>IF(J9&gt;0,J9*Inputs!$B$6,0)</f>
        <v>0</v>
      </c>
      <c r="K10">
        <f>IF(K9&gt;0,K9*Inputs!$B$6,0)</f>
        <v>0</v>
      </c>
      <c r="L10">
        <f>IF(L9&gt;0,L9*Inputs!$B$6,0)</f>
        <v>0</v>
      </c>
      <c r="M10">
        <f>IF(M9&gt;0,M9*Inputs!$B$6,0)</f>
        <v>0</v>
      </c>
    </row>
    <row r="11">
      <c r="A11" t="inlineStr">
        <is>
          <t>Cash Flow</t>
        </is>
      </c>
      <c r="B11">
        <f>B9-B10-B2*0.08</f>
        <v>-308872</v>
      </c>
      <c r="C11">
        <f>C9-C10-C2*0.08</f>
        <v>-306442</v>
      </c>
      <c r="D11">
        <f>D9-D10-D2*0.08</f>
        <v>-303902.65</v>
      </c>
      <c r="E11">
        <f>E9-E10-E2*0.08</f>
        <v>-301249.02925</v>
      </c>
      <c r="F11">
        <f>F9-F10-F2*0.08</f>
        <v>-298475.99556625006</v>
      </c>
      <c r="G11">
        <f>G9-G10-G2*0.08</f>
        <v>-295578.1753667313</v>
      </c>
      <c r="H11">
        <f>H9-H10-H2*0.08</f>
        <v>-292549.9532582342</v>
      </c>
      <c r="I11">
        <f>I9-I10-I2*0.08</f>
        <v>-289385.46115485474</v>
      </c>
      <c r="J11">
        <f>J9-J10-J2*0.08</f>
        <v>-286078.56690682325</v>
      </c>
      <c r="K11">
        <f>K9-K10-K2*0.08</f>
        <v>-282622.86241763027</v>
      </c>
      <c r="L11">
        <f>L9-L10-L2*0.08</f>
        <v>-279011.65122642356</v>
      </c>
      <c r="M11">
        <f>M9-M10-M2*0.08</f>
        <v>-275237.9355316128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Value</t>
        </is>
      </c>
    </row>
    <row r="2">
      <c r="A2" t="inlineStr">
        <is>
          <t>Positive cash flow flag</t>
        </is>
      </c>
      <c r="B2">
        <f>IF(SUM(Schedule!B11:M11)&gt;0,1,0)</f>
        <v>0</v>
      </c>
    </row>
    <row r="3">
      <c r="A3" t="inlineStr">
        <is>
          <t>Growth tier</t>
        </is>
      </c>
      <c r="B3">
        <f>IF(Inputs!$B$3&gt;=0.05,3,IF(Inputs!$B$3&gt;=0.03,2,1))</f>
        <v>2</v>
      </c>
    </row>
    <row r="4">
      <c r="A4" t="inlineStr">
        <is>
          <t>Minimum EBITDA</t>
        </is>
      </c>
      <c r="B4">
        <f>MIN(Schedule!B9:M9)</f>
        <v>-300872</v>
      </c>
    </row>
    <row r="5">
      <c r="A5" t="inlineStr">
        <is>
          <t>Maximum EBITDA</t>
        </is>
      </c>
      <c r="B5">
        <f>MAX(Schedule!B9:M9)</f>
        <v>-262255.11116592574</v>
      </c>
    </row>
    <row r="6">
      <c r="A6" t="inlineStr">
        <is>
          <t>Average cash flow</t>
        </is>
      </c>
      <c r="B6">
        <f>ROUND(AVERAGE(Schedule!B11:M11),2)</f>
        <v>-293283.86</v>
      </c>
    </row>
    <row r="7">
      <c r="A7" t="inlineStr">
        <is>
          <t>VLOOKUP enterprise units</t>
        </is>
      </c>
      <c r="B7">
        <f>VLOOKUP("Enterprise",Inputs!$B$13:$D$52,2,FALSE)</f>
        <v>20</v>
      </c>
    </row>
    <row r="8">
      <c r="A8" t="inlineStr">
        <is>
          <t>INDEX/MATCH enterprise price</t>
        </is>
      </c>
      <c r="B8">
        <f>INDEX(Inputs!$D$13:$D$52,MATCH("Enterprise",Inputs!$B$13:$B$52,0))</f>
        <v>125.25</v>
      </c>
    </row>
    <row r="10">
      <c r="A10" t="inlineStr">
        <is>
          <t>Net present value</t>
        </is>
      </c>
      <c r="B10">
        <f>NPV(Inputs!$B$7,Schedule!B11:M11)</f>
        <v>-2021215.1561359349</v>
      </c>
    </row>
    <row r="11">
      <c r="A11" t="inlineStr">
        <is>
          <t>Internal rate of return</t>
        </is>
      </c>
      <c r="B11">
        <f>IRR(B18:N18)</f>
        <v>0.21332737696596968</v>
      </c>
    </row>
    <row r="12">
      <c r="A12" t="inlineStr">
        <is>
          <t>Date plus three months</t>
        </is>
      </c>
      <c r="B12">
        <f>EDATE(Inputs!$B$2,3)</f>
        <v>45777</v>
      </c>
    </row>
    <row r="13">
      <c r="A13" t="inlineStr">
        <is>
          <t>Month end plus three months</t>
        </is>
      </c>
      <c r="B13">
        <f>EOMONTH(Inputs!$B$2,3)</f>
        <v>45777</v>
      </c>
    </row>
    <row r="14">
      <c r="A14" t="inlineStr">
        <is>
          <t>Enterprise records</t>
        </is>
      </c>
      <c r="B14">
        <f>COUNTIF(Inputs!$B$13:$B$52,"Enterprise")</f>
        <v>16</v>
      </c>
    </row>
    <row r="15">
      <c r="A15" t="inlineStr">
        <is>
          <t>Enterprise west records</t>
        </is>
      </c>
      <c r="B15">
        <f>COUNTIFS(Inputs!$B$13:$B$52,"Enterprise",Inputs!$F$13:$F$52,"West")</f>
        <v>4</v>
      </c>
    </row>
    <row r="17">
      <c r="A17" t="inlineStr">
        <is>
          <t>Signed cash-flow series for IRR</t>
        </is>
      </c>
    </row>
    <row r="18">
      <c r="B18" t="n">
        <v>-100000</v>
      </c>
      <c r="C18" t="n">
        <v>16500</v>
      </c>
      <c r="D18" t="n">
        <v>18000</v>
      </c>
      <c r="E18" t="n">
        <v>20500</v>
      </c>
      <c r="F18" t="n">
        <v>23000</v>
      </c>
      <c r="G18" t="n">
        <v>25000</v>
      </c>
      <c r="H18" t="n">
        <v>27000</v>
      </c>
      <c r="I18" t="n">
        <v>29500</v>
      </c>
      <c r="J18" t="n">
        <v>31500</v>
      </c>
      <c r="K18" t="n">
        <v>34000</v>
      </c>
      <c r="L18" t="n">
        <v>36000</v>
      </c>
      <c r="M18" t="n">
        <v>38500</v>
      </c>
      <c r="N18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2026-09-08T05:33:27Z</dcterms:created>
  <dcterms:modified xmlns:dcterms="http://purl.org/dc/terms/" xmlns:xsi="http://www.w3.org/2001/XMLSchema-instance" xsi:type="dcterms:W3CDTF">2026-09-08T05:33:27Z</dcterms:modified>
</cp:coreProperties>
</file>