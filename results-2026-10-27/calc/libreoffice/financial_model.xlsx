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hedule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<sst xmlns="http://schemas.openxmlformats.org/spreadsheetml/2006/main" count="124" uniqueCount="48">
  <si>
    <t xml:space="preserve">Financial model assumptions</t>
  </si>
  <si>
    <t xml:space="preserve">Start Date</t>
  </si>
  <si>
    <t xml:space="preserve">Revenue Growth</t>
  </si>
  <si>
    <t xml:space="preserve">Gross Margin</t>
  </si>
  <si>
    <t xml:space="preserve">Fixed Costs</t>
  </si>
  <si>
    <t xml:space="preserve">Tax Rate</t>
  </si>
  <si>
    <t xml:space="preserve">Discount Rate</t>
  </si>
  <si>
    <t xml:space="preserve">Target Category</t>
  </si>
  <si>
    <t xml:space="preserve">Enterprise</t>
  </si>
  <si>
    <t xml:space="preserve">Target Region</t>
  </si>
  <si>
    <t xml:space="preserve">West</t>
  </si>
  <si>
    <t xml:space="preserve">Record</t>
  </si>
  <si>
    <t xml:space="preserve">Category</t>
  </si>
  <si>
    <t xml:space="preserve">Units</t>
  </si>
  <si>
    <t xml:space="preserve">Price</t>
  </si>
  <si>
    <t xml:space="preserve">Launch Date</t>
  </si>
  <si>
    <t xml:space="preserve">Region</t>
  </si>
  <si>
    <t xml:space="preserve">SMB</t>
  </si>
  <si>
    <t xml:space="preserve">East</t>
  </si>
  <si>
    <t xml:space="preserve">Consumer</t>
  </si>
  <si>
    <t xml:space="preserve">South</t>
  </si>
  <si>
    <t xml:space="preserve">North</t>
  </si>
  <si>
    <t xml:space="preserve">Metric</t>
  </si>
  <si>
    <t xml:space="preserve">Revenue</t>
  </si>
  <si>
    <t xml:space="preserve">Cost of Goods Sold</t>
  </si>
  <si>
    <t xml:space="preserve">Gross Profit</t>
  </si>
  <si>
    <t xml:space="preserve">Target Units</t>
  </si>
  <si>
    <t xml:space="preserve">Target Regional Price</t>
  </si>
  <si>
    <t xml:space="preserve">Operating Costs</t>
  </si>
  <si>
    <t xml:space="preserve">EBITDA</t>
  </si>
  <si>
    <t xml:space="preserve">Tax</t>
  </si>
  <si>
    <t xml:space="preserve">Cash Flow</t>
  </si>
  <si>
    <t xml:space="preserve">Summary Metric</t>
  </si>
  <si>
    <t xml:space="preserve">Value</t>
  </si>
  <si>
    <t xml:space="preserve">Positive cash flow flag</t>
  </si>
  <si>
    <t xml:space="preserve">Growth tier</t>
  </si>
  <si>
    <t xml:space="preserve">Minimum EBITDA</t>
  </si>
  <si>
    <t xml:space="preserve">Maximum EBITDA</t>
  </si>
  <si>
    <t xml:space="preserve">Average cash flow</t>
  </si>
  <si>
    <t xml:space="preserve">VLOOKUP enterprise units</t>
  </si>
  <si>
    <t xml:space="preserve">INDEX/MATCH enterprise price</t>
  </si>
  <si>
    <t xml:space="preserve">Net present value</t>
  </si>
  <si>
    <t xml:space="preserve">Internal rate of return</t>
  </si>
  <si>
    <t xml:space="preserve">Date plus three months</t>
  </si>
  <si>
    <t xml:space="preserve">Month end plus three months</t>
  </si>
  <si>
    <t xml:space="preserve">Enterprise records</t>
  </si>
  <si>
    <t xml:space="preserve">Enterprise west records</t>
  </si>
  <si>
    <t xml:space="preserve">Signed cash-flow series for IRR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</si>
</sst>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%"/>
    <numFmt numFmtId="167" formatCode="[$$-409]#,##0.00;[RED]\-[$$-409]#,##0.00"/>
    <numFmt numFmtId="168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1" t="n">
        <v>45688</v>
      </c>
    </row>
    <row r="3" customFormat="false" ht="15" hidden="false" customHeight="false" outlineLevel="0" collapsed="false">
      <c r="A3" s="0" t="s">
        <v>2</v>
      </c>
      <c r="B3" s="2" t="n">
        <v>0.045</v>
      </c>
    </row>
    <row r="4" customFormat="false" ht="15" hidden="false" customHeight="false" outlineLevel="0" collapsed="false">
      <c r="A4" s="0" t="s">
        <v>3</v>
      </c>
      <c r="B4" s="2" t="n">
        <v>0.62</v>
      </c>
    </row>
    <row r="5" customFormat="false" ht="15" hidden="false" customHeight="false" outlineLevel="0" collapsed="false">
      <c r="A5" s="0" t="s">
        <v>4</v>
      </c>
      <c r="B5" s="0" t="n">
        <v>12000</v>
      </c>
    </row>
    <row r="6" customFormat="false" ht="15" hidden="false" customHeight="false" outlineLevel="0" collapsed="false">
      <c r="A6" s="0" t="s">
        <v>5</v>
      </c>
      <c r="B6" s="2" t="n">
        <v>0.24</v>
      </c>
    </row>
    <row r="7" customFormat="false" ht="15" hidden="false" customHeight="false" outlineLevel="0" collapsed="false">
      <c r="A7" s="0" t="s">
        <v>6</v>
      </c>
      <c r="B7" s="2" t="n">
        <v>0.1</v>
      </c>
    </row>
    <row r="8" customFormat="false" ht="15" hidden="false" customHeight="false" outlineLevel="0" collapsed="false">
      <c r="A8" s="0" t="s">
        <v>7</v>
      </c>
      <c r="B8" s="0" t="s">
        <v>8</v>
      </c>
    </row>
    <row r="9" customFormat="false" ht="15" hidden="false" customHeight="false" outlineLevel="0" collapsed="false">
      <c r="A9" s="0" t="s">
        <v>9</v>
      </c>
      <c r="B9" s="0" t="s">
        <v>10</v>
      </c>
    </row>
    <row r="12" customFormat="false" ht="15" hidden="false" customHeight="false" outlineLevel="0" collapsed="false">
      <c r="A12" s="0" t="s">
        <v>11</v>
      </c>
      <c r="B12" s="0" t="s">
        <v>12</v>
      </c>
      <c r="C12" s="0" t="s">
        <v>13</v>
      </c>
      <c r="D12" s="0" t="s">
        <v>14</v>
      </c>
      <c r="E12" s="0" t="s">
        <v>15</v>
      </c>
      <c r="F12" s="0" t="s">
        <v>16</v>
      </c>
    </row>
    <row r="13" customFormat="false" ht="15" hidden="false" customHeight="false" outlineLevel="0" collapsed="false">
      <c r="A13" s="0" t="n">
        <v>1</v>
      </c>
      <c r="B13" s="0" t="s">
        <v>8</v>
      </c>
      <c r="C13" s="0" t="n">
        <v>20</v>
      </c>
      <c r="D13" s="0" t="n">
        <v>125.25</v>
      </c>
      <c r="E13" s="1" t="n">
        <v>45658</v>
      </c>
      <c r="F13" s="0" t="s">
        <v>10</v>
      </c>
    </row>
    <row r="14" customFormat="false" ht="15" hidden="false" customHeight="false" outlineLevel="0" collapsed="false">
      <c r="A14" s="0" t="n">
        <v>2</v>
      </c>
      <c r="B14" s="0" t="s">
        <v>17</v>
      </c>
      <c r="C14" s="0" t="n">
        <v>27</v>
      </c>
      <c r="D14" s="0" t="n">
        <v>138.25</v>
      </c>
      <c r="E14" s="1" t="n">
        <v>45689</v>
      </c>
      <c r="F14" s="0" t="s">
        <v>18</v>
      </c>
    </row>
    <row r="15" customFormat="false" ht="15" hidden="false" customHeight="false" outlineLevel="0" collapsed="false">
      <c r="A15" s="0" t="n">
        <v>3</v>
      </c>
      <c r="B15" s="0" t="s">
        <v>19</v>
      </c>
      <c r="C15" s="0" t="n">
        <v>34</v>
      </c>
      <c r="D15" s="0" t="n">
        <v>151.25</v>
      </c>
      <c r="E15" s="1" t="n">
        <v>45717</v>
      </c>
      <c r="F15" s="0" t="s">
        <v>20</v>
      </c>
    </row>
    <row r="16" customFormat="false" ht="15" hidden="false" customHeight="false" outlineLevel="0" collapsed="false">
      <c r="A16" s="0" t="n">
        <v>4</v>
      </c>
      <c r="B16" s="0" t="s">
        <v>8</v>
      </c>
      <c r="C16" s="0" t="n">
        <v>41</v>
      </c>
      <c r="D16" s="0" t="n">
        <v>164.25</v>
      </c>
      <c r="E16" s="1" t="n">
        <v>45748</v>
      </c>
      <c r="F16" s="0" t="s">
        <v>21</v>
      </c>
    </row>
    <row r="17" customFormat="false" ht="15" hidden="false" customHeight="false" outlineLevel="0" collapsed="false">
      <c r="A17" s="0" t="n">
        <v>5</v>
      </c>
      <c r="B17" s="0" t="s">
        <v>17</v>
      </c>
      <c r="C17" s="0" t="n">
        <v>48</v>
      </c>
      <c r="D17" s="0" t="n">
        <v>177.25</v>
      </c>
      <c r="E17" s="1" t="n">
        <v>45778</v>
      </c>
      <c r="F17" s="0" t="s">
        <v>10</v>
      </c>
    </row>
    <row r="18" customFormat="false" ht="15" hidden="false" customHeight="false" outlineLevel="0" collapsed="false">
      <c r="A18" s="0" t="n">
        <v>6</v>
      </c>
      <c r="B18" s="0" t="s">
        <v>8</v>
      </c>
      <c r="C18" s="0" t="n">
        <v>20</v>
      </c>
      <c r="D18" s="0" t="n">
        <v>190.25</v>
      </c>
      <c r="E18" s="1" t="n">
        <v>45809</v>
      </c>
      <c r="F18" s="0" t="s">
        <v>18</v>
      </c>
    </row>
    <row r="19" customFormat="false" ht="15" hidden="false" customHeight="false" outlineLevel="0" collapsed="false">
      <c r="A19" s="0" t="n">
        <v>7</v>
      </c>
      <c r="B19" s="0" t="s">
        <v>17</v>
      </c>
      <c r="C19" s="0" t="n">
        <v>27</v>
      </c>
      <c r="D19" s="0" t="n">
        <v>203.25</v>
      </c>
      <c r="E19" s="1" t="n">
        <v>45839</v>
      </c>
      <c r="F19" s="0" t="s">
        <v>20</v>
      </c>
    </row>
    <row r="20" customFormat="false" ht="15" hidden="false" customHeight="false" outlineLevel="0" collapsed="false">
      <c r="A20" s="0" t="n">
        <v>8</v>
      </c>
      <c r="B20" s="0" t="s">
        <v>19</v>
      </c>
      <c r="C20" s="0" t="n">
        <v>34</v>
      </c>
      <c r="D20" s="0" t="n">
        <v>216.25</v>
      </c>
      <c r="E20" s="1" t="n">
        <v>45870</v>
      </c>
      <c r="F20" s="0" t="s">
        <v>21</v>
      </c>
    </row>
    <row r="21" customFormat="false" ht="15" hidden="false" customHeight="false" outlineLevel="0" collapsed="false">
      <c r="A21" s="0" t="n">
        <v>9</v>
      </c>
      <c r="B21" s="0" t="s">
        <v>8</v>
      </c>
      <c r="C21" s="0" t="n">
        <v>41</v>
      </c>
      <c r="D21" s="0" t="n">
        <v>229.25</v>
      </c>
      <c r="E21" s="1" t="n">
        <v>45901</v>
      </c>
      <c r="F21" s="0" t="s">
        <v>10</v>
      </c>
    </row>
    <row r="22" customFormat="false" ht="15" hidden="false" customHeight="false" outlineLevel="0" collapsed="false">
      <c r="A22" s="0" t="n">
        <v>10</v>
      </c>
      <c r="B22" s="0" t="s">
        <v>17</v>
      </c>
      <c r="C22" s="0" t="n">
        <v>48</v>
      </c>
      <c r="D22" s="0" t="n">
        <v>242.25</v>
      </c>
      <c r="E22" s="1" t="n">
        <v>45931</v>
      </c>
      <c r="F22" s="0" t="s">
        <v>18</v>
      </c>
    </row>
    <row r="23" customFormat="false" ht="15" hidden="false" customHeight="false" outlineLevel="0" collapsed="false">
      <c r="A23" s="0" t="n">
        <v>11</v>
      </c>
      <c r="B23" s="0" t="s">
        <v>8</v>
      </c>
      <c r="C23" s="0" t="n">
        <v>20</v>
      </c>
      <c r="D23" s="0" t="n">
        <v>255.25</v>
      </c>
      <c r="E23" s="1" t="n">
        <v>45962</v>
      </c>
      <c r="F23" s="0" t="s">
        <v>20</v>
      </c>
    </row>
    <row r="24" customFormat="false" ht="15" hidden="false" customHeight="false" outlineLevel="0" collapsed="false">
      <c r="A24" s="0" t="n">
        <v>12</v>
      </c>
      <c r="B24" s="0" t="s">
        <v>17</v>
      </c>
      <c r="C24" s="0" t="n">
        <v>27</v>
      </c>
      <c r="D24" s="0" t="n">
        <v>268.25</v>
      </c>
      <c r="E24" s="1" t="n">
        <v>45992</v>
      </c>
      <c r="F24" s="0" t="s">
        <v>21</v>
      </c>
    </row>
    <row r="25" customFormat="false" ht="15" hidden="false" customHeight="false" outlineLevel="0" collapsed="false">
      <c r="A25" s="0" t="n">
        <v>13</v>
      </c>
      <c r="B25" s="0" t="s">
        <v>19</v>
      </c>
      <c r="C25" s="0" t="n">
        <v>34</v>
      </c>
      <c r="D25" s="0" t="n">
        <v>281.25</v>
      </c>
      <c r="E25" s="1" t="n">
        <v>45658</v>
      </c>
      <c r="F25" s="0" t="s">
        <v>10</v>
      </c>
    </row>
    <row r="26" customFormat="false" ht="15" hidden="false" customHeight="false" outlineLevel="0" collapsed="false">
      <c r="A26" s="0" t="n">
        <v>14</v>
      </c>
      <c r="B26" s="0" t="s">
        <v>8</v>
      </c>
      <c r="C26" s="0" t="n">
        <v>41</v>
      </c>
      <c r="D26" s="0" t="n">
        <v>294.25</v>
      </c>
      <c r="E26" s="1" t="n">
        <v>45689</v>
      </c>
      <c r="F26" s="0" t="s">
        <v>18</v>
      </c>
    </row>
    <row r="27" customFormat="false" ht="15" hidden="false" customHeight="false" outlineLevel="0" collapsed="false">
      <c r="A27" s="0" t="n">
        <v>15</v>
      </c>
      <c r="B27" s="0" t="s">
        <v>17</v>
      </c>
      <c r="C27" s="0" t="n">
        <v>48</v>
      </c>
      <c r="D27" s="0" t="n">
        <v>137.25</v>
      </c>
      <c r="E27" s="1" t="n">
        <v>45717</v>
      </c>
      <c r="F27" s="0" t="s">
        <v>20</v>
      </c>
    </row>
    <row r="28" customFormat="false" ht="15" hidden="false" customHeight="false" outlineLevel="0" collapsed="false">
      <c r="A28" s="0" t="n">
        <v>16</v>
      </c>
      <c r="B28" s="0" t="s">
        <v>8</v>
      </c>
      <c r="C28" s="0" t="n">
        <v>20</v>
      </c>
      <c r="D28" s="0" t="n">
        <v>150.25</v>
      </c>
      <c r="E28" s="1" t="n">
        <v>45748</v>
      </c>
      <c r="F28" s="0" t="s">
        <v>21</v>
      </c>
    </row>
    <row r="29" customFormat="false" ht="15" hidden="false" customHeight="false" outlineLevel="0" collapsed="false">
      <c r="A29" s="0" t="n">
        <v>17</v>
      </c>
      <c r="B29" s="0" t="s">
        <v>17</v>
      </c>
      <c r="C29" s="0" t="n">
        <v>27</v>
      </c>
      <c r="D29" s="0" t="n">
        <v>163.25</v>
      </c>
      <c r="E29" s="1" t="n">
        <v>45778</v>
      </c>
      <c r="F29" s="0" t="s">
        <v>10</v>
      </c>
    </row>
    <row r="30" customFormat="false" ht="15" hidden="false" customHeight="false" outlineLevel="0" collapsed="false">
      <c r="A30" s="0" t="n">
        <v>18</v>
      </c>
      <c r="B30" s="0" t="s">
        <v>19</v>
      </c>
      <c r="C30" s="0" t="n">
        <v>34</v>
      </c>
      <c r="D30" s="0" t="n">
        <v>176.25</v>
      </c>
      <c r="E30" s="1" t="n">
        <v>45809</v>
      </c>
      <c r="F30" s="0" t="s">
        <v>18</v>
      </c>
    </row>
    <row r="31" customFormat="false" ht="15" hidden="false" customHeight="false" outlineLevel="0" collapsed="false">
      <c r="A31" s="0" t="n">
        <v>19</v>
      </c>
      <c r="B31" s="0" t="s">
        <v>8</v>
      </c>
      <c r="C31" s="0" t="n">
        <v>41</v>
      </c>
      <c r="D31" s="0" t="n">
        <v>189.25</v>
      </c>
      <c r="E31" s="1" t="n">
        <v>45839</v>
      </c>
      <c r="F31" s="0" t="s">
        <v>20</v>
      </c>
    </row>
    <row r="32" customFormat="false" ht="15" hidden="false" customHeight="false" outlineLevel="0" collapsed="false">
      <c r="A32" s="0" t="n">
        <v>20</v>
      </c>
      <c r="B32" s="0" t="s">
        <v>17</v>
      </c>
      <c r="C32" s="0" t="n">
        <v>48</v>
      </c>
      <c r="D32" s="0" t="n">
        <v>202.25</v>
      </c>
      <c r="E32" s="1" t="n">
        <v>45870</v>
      </c>
      <c r="F32" s="0" t="s">
        <v>21</v>
      </c>
    </row>
    <row r="33" customFormat="false" ht="15" hidden="false" customHeight="false" outlineLevel="0" collapsed="false">
      <c r="A33" s="0" t="n">
        <v>21</v>
      </c>
      <c r="B33" s="0" t="s">
        <v>8</v>
      </c>
      <c r="C33" s="0" t="n">
        <v>20</v>
      </c>
      <c r="D33" s="0" t="n">
        <v>215.25</v>
      </c>
      <c r="E33" s="1" t="n">
        <v>45901</v>
      </c>
      <c r="F33" s="0" t="s">
        <v>10</v>
      </c>
    </row>
    <row r="34" customFormat="false" ht="15" hidden="false" customHeight="false" outlineLevel="0" collapsed="false">
      <c r="A34" s="0" t="n">
        <v>22</v>
      </c>
      <c r="B34" s="0" t="s">
        <v>17</v>
      </c>
      <c r="C34" s="0" t="n">
        <v>27</v>
      </c>
      <c r="D34" s="0" t="n">
        <v>228.25</v>
      </c>
      <c r="E34" s="1" t="n">
        <v>45931</v>
      </c>
      <c r="F34" s="0" t="s">
        <v>18</v>
      </c>
    </row>
    <row r="35" customFormat="false" ht="15" hidden="false" customHeight="false" outlineLevel="0" collapsed="false">
      <c r="A35" s="0" t="n">
        <v>23</v>
      </c>
      <c r="B35" s="0" t="s">
        <v>19</v>
      </c>
      <c r="C35" s="0" t="n">
        <v>34</v>
      </c>
      <c r="D35" s="0" t="n">
        <v>241.25</v>
      </c>
      <c r="E35" s="1" t="n">
        <v>45962</v>
      </c>
      <c r="F35" s="0" t="s">
        <v>20</v>
      </c>
    </row>
    <row r="36" customFormat="false" ht="15" hidden="false" customHeight="false" outlineLevel="0" collapsed="false">
      <c r="A36" s="0" t="n">
        <v>24</v>
      </c>
      <c r="B36" s="0" t="s">
        <v>8</v>
      </c>
      <c r="C36" s="0" t="n">
        <v>41</v>
      </c>
      <c r="D36" s="0" t="n">
        <v>254.25</v>
      </c>
      <c r="E36" s="1" t="n">
        <v>45992</v>
      </c>
      <c r="F36" s="0" t="s">
        <v>21</v>
      </c>
    </row>
    <row r="37" customFormat="false" ht="15" hidden="false" customHeight="false" outlineLevel="0" collapsed="false">
      <c r="A37" s="0" t="n">
        <v>25</v>
      </c>
      <c r="B37" s="0" t="s">
        <v>17</v>
      </c>
      <c r="C37" s="0" t="n">
        <v>48</v>
      </c>
      <c r="D37" s="0" t="n">
        <v>267.25</v>
      </c>
      <c r="E37" s="1" t="n">
        <v>45658</v>
      </c>
      <c r="F37" s="0" t="s">
        <v>10</v>
      </c>
    </row>
    <row r="38" customFormat="false" ht="15" hidden="false" customHeight="false" outlineLevel="0" collapsed="false">
      <c r="A38" s="0" t="n">
        <v>26</v>
      </c>
      <c r="B38" s="0" t="s">
        <v>8</v>
      </c>
      <c r="C38" s="0" t="n">
        <v>20</v>
      </c>
      <c r="D38" s="0" t="n">
        <v>280.25</v>
      </c>
      <c r="E38" s="1" t="n">
        <v>45689</v>
      </c>
      <c r="F38" s="0" t="s">
        <v>18</v>
      </c>
    </row>
    <row r="39" customFormat="false" ht="15" hidden="false" customHeight="false" outlineLevel="0" collapsed="false">
      <c r="A39" s="0" t="n">
        <v>27</v>
      </c>
      <c r="B39" s="0" t="s">
        <v>17</v>
      </c>
      <c r="C39" s="0" t="n">
        <v>27</v>
      </c>
      <c r="D39" s="0" t="n">
        <v>293.25</v>
      </c>
      <c r="E39" s="1" t="n">
        <v>45717</v>
      </c>
      <c r="F39" s="0" t="s">
        <v>20</v>
      </c>
    </row>
    <row r="40" customFormat="false" ht="15" hidden="false" customHeight="false" outlineLevel="0" collapsed="false">
      <c r="A40" s="0" t="n">
        <v>28</v>
      </c>
      <c r="B40" s="0" t="s">
        <v>19</v>
      </c>
      <c r="C40" s="0" t="n">
        <v>34</v>
      </c>
      <c r="D40" s="0" t="n">
        <v>136.25</v>
      </c>
      <c r="E40" s="1" t="n">
        <v>45748</v>
      </c>
      <c r="F40" s="0" t="s">
        <v>21</v>
      </c>
    </row>
    <row r="41" customFormat="false" ht="15" hidden="false" customHeight="false" outlineLevel="0" collapsed="false">
      <c r="A41" s="0" t="n">
        <v>29</v>
      </c>
      <c r="B41" s="0" t="s">
        <v>8</v>
      </c>
      <c r="C41" s="0" t="n">
        <v>41</v>
      </c>
      <c r="D41" s="0" t="n">
        <v>149.25</v>
      </c>
      <c r="E41" s="1" t="n">
        <v>45778</v>
      </c>
      <c r="F41" s="0" t="s">
        <v>10</v>
      </c>
    </row>
    <row r="42" customFormat="false" ht="15" hidden="false" customHeight="false" outlineLevel="0" collapsed="false">
      <c r="A42" s="0" t="n">
        <v>30</v>
      </c>
      <c r="B42" s="0" t="s">
        <v>17</v>
      </c>
      <c r="C42" s="0" t="n">
        <v>48</v>
      </c>
      <c r="D42" s="0" t="n">
        <v>162.25</v>
      </c>
      <c r="E42" s="1" t="n">
        <v>45809</v>
      </c>
      <c r="F42" s="0" t="s">
        <v>18</v>
      </c>
    </row>
    <row r="43" customFormat="false" ht="15" hidden="false" customHeight="false" outlineLevel="0" collapsed="false">
      <c r="A43" s="0" t="n">
        <v>31</v>
      </c>
      <c r="B43" s="0" t="s">
        <v>8</v>
      </c>
      <c r="C43" s="0" t="n">
        <v>20</v>
      </c>
      <c r="D43" s="0" t="n">
        <v>175.25</v>
      </c>
      <c r="E43" s="1" t="n">
        <v>45839</v>
      </c>
      <c r="F43" s="0" t="s">
        <v>20</v>
      </c>
    </row>
    <row r="44" customFormat="false" ht="15" hidden="false" customHeight="false" outlineLevel="0" collapsed="false">
      <c r="A44" s="0" t="n">
        <v>32</v>
      </c>
      <c r="B44" s="0" t="s">
        <v>17</v>
      </c>
      <c r="C44" s="0" t="n">
        <v>27</v>
      </c>
      <c r="D44" s="0" t="n">
        <v>188.25</v>
      </c>
      <c r="E44" s="1" t="n">
        <v>45870</v>
      </c>
      <c r="F44" s="0" t="s">
        <v>21</v>
      </c>
    </row>
    <row r="45" customFormat="false" ht="15" hidden="false" customHeight="false" outlineLevel="0" collapsed="false">
      <c r="A45" s="0" t="n">
        <v>33</v>
      </c>
      <c r="B45" s="0" t="s">
        <v>19</v>
      </c>
      <c r="C45" s="0" t="n">
        <v>34</v>
      </c>
      <c r="D45" s="0" t="n">
        <v>201.25</v>
      </c>
      <c r="E45" s="1" t="n">
        <v>45901</v>
      </c>
      <c r="F45" s="0" t="s">
        <v>10</v>
      </c>
    </row>
    <row r="46" customFormat="false" ht="15" hidden="false" customHeight="false" outlineLevel="0" collapsed="false">
      <c r="A46" s="0" t="n">
        <v>34</v>
      </c>
      <c r="B46" s="0" t="s">
        <v>8</v>
      </c>
      <c r="C46" s="0" t="n">
        <v>41</v>
      </c>
      <c r="D46" s="0" t="n">
        <v>214.25</v>
      </c>
      <c r="E46" s="1" t="n">
        <v>45931</v>
      </c>
      <c r="F46" s="0" t="s">
        <v>18</v>
      </c>
    </row>
    <row r="47" customFormat="false" ht="15" hidden="false" customHeight="false" outlineLevel="0" collapsed="false">
      <c r="A47" s="0" t="n">
        <v>35</v>
      </c>
      <c r="B47" s="0" t="s">
        <v>17</v>
      </c>
      <c r="C47" s="0" t="n">
        <v>48</v>
      </c>
      <c r="D47" s="0" t="n">
        <v>227.25</v>
      </c>
      <c r="E47" s="1" t="n">
        <v>45962</v>
      </c>
      <c r="F47" s="0" t="s">
        <v>20</v>
      </c>
    </row>
    <row r="48" customFormat="false" ht="15" hidden="false" customHeight="false" outlineLevel="0" collapsed="false">
      <c r="A48" s="0" t="n">
        <v>36</v>
      </c>
      <c r="B48" s="0" t="s">
        <v>8</v>
      </c>
      <c r="C48" s="0" t="n">
        <v>20</v>
      </c>
      <c r="D48" s="0" t="n">
        <v>240.25</v>
      </c>
      <c r="E48" s="1" t="n">
        <v>45992</v>
      </c>
      <c r="F48" s="0" t="s">
        <v>21</v>
      </c>
    </row>
    <row r="49" customFormat="false" ht="15" hidden="false" customHeight="false" outlineLevel="0" collapsed="false">
      <c r="A49" s="0" t="n">
        <v>37</v>
      </c>
      <c r="B49" s="0" t="s">
        <v>17</v>
      </c>
      <c r="C49" s="0" t="n">
        <v>27</v>
      </c>
      <c r="D49" s="0" t="n">
        <v>253.25</v>
      </c>
      <c r="E49" s="1" t="n">
        <v>45658</v>
      </c>
      <c r="F49" s="0" t="s">
        <v>10</v>
      </c>
    </row>
    <row r="50" customFormat="false" ht="15" hidden="false" customHeight="false" outlineLevel="0" collapsed="false">
      <c r="A50" s="0" t="n">
        <v>38</v>
      </c>
      <c r="B50" s="0" t="s">
        <v>19</v>
      </c>
      <c r="C50" s="0" t="n">
        <v>34</v>
      </c>
      <c r="D50" s="0" t="n">
        <v>266.25</v>
      </c>
      <c r="E50" s="1" t="n">
        <v>45689</v>
      </c>
      <c r="F50" s="0" t="s">
        <v>18</v>
      </c>
    </row>
    <row r="51" customFormat="false" ht="15" hidden="false" customHeight="false" outlineLevel="0" collapsed="false">
      <c r="A51" s="0" t="n">
        <v>39</v>
      </c>
      <c r="B51" s="0" t="s">
        <v>8</v>
      </c>
      <c r="C51" s="0" t="n">
        <v>41</v>
      </c>
      <c r="D51" s="0" t="n">
        <v>279.25</v>
      </c>
      <c r="E51" s="1" t="n">
        <v>45717</v>
      </c>
      <c r="F51" s="0" t="s">
        <v>20</v>
      </c>
    </row>
    <row r="52" customFormat="false" ht="15" hidden="false" customHeight="false" outlineLevel="0" collapsed="false">
      <c r="A52" s="0" t="n">
        <v>40</v>
      </c>
      <c r="B52" s="0" t="s">
        <v>17</v>
      </c>
      <c r="C52" s="0" t="n">
        <v>48</v>
      </c>
      <c r="D52" s="0" t="n">
        <v>292.25</v>
      </c>
      <c r="E52" s="1" t="n">
        <v>45748</v>
      </c>
      <c r="F52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22</v>
      </c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 customFormat="false" ht="15" hidden="false" customHeight="false" outlineLevel="0" collapsed="false">
      <c r="A2" s="0" t="s">
        <v>23</v>
      </c>
      <c r="B2" s="0" t="n">
        <f aca="false">100000*(1+Inputs!$B$3)^(B$1-1)</f>
        <v>100000</v>
      </c>
      <c r="C2" s="0" t="n">
        <f aca="false">100000*(1+Inputs!$B$3)^(C$1-1)</f>
        <v>104500</v>
      </c>
      <c r="D2" s="0" t="n">
        <f aca="false">100000*(1+Inputs!$B$3)^(D$1-1)</f>
        <v>109202.5</v>
      </c>
      <c r="E2" s="0" t="n">
        <f aca="false">100000*(1+Inputs!$B$3)^(E$1-1)</f>
        <v>114116.6125</v>
      </c>
      <c r="F2" s="0" t="n">
        <f aca="false">100000*(1+Inputs!$B$3)^(F$1-1)</f>
        <v>119251.8600625</v>
      </c>
      <c r="G2" s="0" t="n">
        <f aca="false">100000*(1+Inputs!$B$3)^(G$1-1)</f>
        <v>124618.193765312</v>
      </c>
      <c r="H2" s="0" t="n">
        <f aca="false">100000*(1+Inputs!$B$3)^(H$1-1)</f>
        <v>130226.012484752</v>
      </c>
      <c r="I2" s="0" t="n">
        <f aca="false">100000*(1+Inputs!$B$3)^(I$1-1)</f>
        <v>136086.183046565</v>
      </c>
      <c r="J2" s="0" t="n">
        <f aca="false">100000*(1+Inputs!$B$3)^(J$1-1)</f>
        <v>142210.061283661</v>
      </c>
      <c r="K2" s="0" t="n">
        <f aca="false">100000*(1+Inputs!$B$3)^(K$1-1)</f>
        <v>148609.514041425</v>
      </c>
      <c r="L2" s="0" t="n">
        <f aca="false">100000*(1+Inputs!$B$3)^(L$1-1)</f>
        <v>155296.94217329</v>
      </c>
      <c r="M2" s="0" t="n">
        <f aca="false">100000*(1+Inputs!$B$3)^(M$1-1)</f>
        <v>162285.304571088</v>
      </c>
    </row>
    <row r="3" customFormat="false" ht="15" hidden="false" customHeight="false" outlineLevel="0" collapsed="false">
      <c r="A3" s="0" t="s">
        <v>24</v>
      </c>
      <c r="B3" s="0" t="n">
        <f aca="false">B2*(1-Inputs!$B$4)</f>
        <v>38000</v>
      </c>
      <c r="C3" s="0" t="n">
        <f aca="false">C2*(1-Inputs!$B$4)</f>
        <v>39710</v>
      </c>
      <c r="D3" s="0" t="n">
        <f aca="false">D2*(1-Inputs!$B$4)</f>
        <v>41496.95</v>
      </c>
      <c r="E3" s="0" t="n">
        <f aca="false">E2*(1-Inputs!$B$4)</f>
        <v>43364.31275</v>
      </c>
      <c r="F3" s="0" t="n">
        <f aca="false">F2*(1-Inputs!$B$4)</f>
        <v>45315.70682375</v>
      </c>
      <c r="G3" s="0" t="n">
        <f aca="false">G2*(1-Inputs!$B$4)</f>
        <v>47354.9136308187</v>
      </c>
      <c r="H3" s="0" t="n">
        <f aca="false">H2*(1-Inputs!$B$4)</f>
        <v>49485.8847442056</v>
      </c>
      <c r="I3" s="0" t="n">
        <f aca="false">I2*(1-Inputs!$B$4)</f>
        <v>51712.7495576948</v>
      </c>
      <c r="J3" s="0" t="n">
        <f aca="false">J2*(1-Inputs!$B$4)</f>
        <v>54039.8232877911</v>
      </c>
      <c r="K3" s="0" t="n">
        <f aca="false">K2*(1-Inputs!$B$4)</f>
        <v>56471.6153357417</v>
      </c>
      <c r="L3" s="0" t="n">
        <f aca="false">L2*(1-Inputs!$B$4)</f>
        <v>59012.8380258501</v>
      </c>
      <c r="M3" s="0" t="n">
        <f aca="false">M2*(1-Inputs!$B$4)</f>
        <v>61668.4157370133</v>
      </c>
    </row>
    <row r="4" customFormat="false" ht="15" hidden="false" customHeight="false" outlineLevel="0" collapsed="false">
      <c r="A4" s="0" t="s">
        <v>25</v>
      </c>
      <c r="B4" s="0" t="n">
        <f aca="false">B2-B3</f>
        <v>62000</v>
      </c>
      <c r="C4" s="0" t="n">
        <f aca="false">C2-C3</f>
        <v>64790</v>
      </c>
      <c r="D4" s="0" t="n">
        <f aca="false">D2-D3</f>
        <v>67705.55</v>
      </c>
      <c r="E4" s="0" t="n">
        <f aca="false">E2-E3</f>
        <v>70752.29975</v>
      </c>
      <c r="F4" s="0" t="n">
        <f aca="false">F2-F3</f>
        <v>73936.15323875</v>
      </c>
      <c r="G4" s="0" t="n">
        <f aca="false">G2-G3</f>
        <v>77263.2801344937</v>
      </c>
      <c r="H4" s="0" t="n">
        <f aca="false">H2-H3</f>
        <v>80740.127740546</v>
      </c>
      <c r="I4" s="0" t="n">
        <f aca="false">I2-I3</f>
        <v>84373.4334888705</v>
      </c>
      <c r="J4" s="0" t="n">
        <f aca="false">J2-J3</f>
        <v>88170.2379958697</v>
      </c>
      <c r="K4" s="0" t="n">
        <f aca="false">K2-K3</f>
        <v>92137.8987056838</v>
      </c>
      <c r="L4" s="0" t="n">
        <f aca="false">L2-L3</f>
        <v>96284.1041474396</v>
      </c>
      <c r="M4" s="0" t="n">
        <f aca="false">M2-M3</f>
        <v>100616.888834074</v>
      </c>
    </row>
    <row r="5" customFormat="false" ht="15" hidden="false" customHeight="false" outlineLevel="0" collapsed="false">
      <c r="A5" s="0" t="s">
        <v>4</v>
      </c>
      <c r="B5" s="0" t="n">
        <f aca="false">Inputs!$B$5</f>
        <v>12000</v>
      </c>
      <c r="C5" s="0" t="n">
        <f aca="false">Inputs!$B$5</f>
        <v>12000</v>
      </c>
      <c r="D5" s="0" t="n">
        <f aca="false">Inputs!$B$5</f>
        <v>12000</v>
      </c>
      <c r="E5" s="0" t="n">
        <f aca="false">Inputs!$B$5</f>
        <v>12000</v>
      </c>
      <c r="F5" s="0" t="n">
        <f aca="false">Inputs!$B$5</f>
        <v>12000</v>
      </c>
      <c r="G5" s="0" t="n">
        <f aca="false">Inputs!$B$5</f>
        <v>12000</v>
      </c>
      <c r="H5" s="0" t="n">
        <f aca="false">Inputs!$B$5</f>
        <v>12000</v>
      </c>
      <c r="I5" s="0" t="n">
        <f aca="false">Inputs!$B$5</f>
        <v>12000</v>
      </c>
      <c r="J5" s="0" t="n">
        <f aca="false">Inputs!$B$5</f>
        <v>12000</v>
      </c>
      <c r="K5" s="0" t="n">
        <f aca="false">Inputs!$B$5</f>
        <v>12000</v>
      </c>
      <c r="L5" s="0" t="n">
        <f aca="false">Inputs!$B$5</f>
        <v>12000</v>
      </c>
      <c r="M5" s="0" t="n">
        <f aca="false">Inputs!$B$5</f>
        <v>12000</v>
      </c>
    </row>
    <row r="6" customFormat="false" ht="15" hidden="false" customHeight="false" outlineLevel="0" collapsed="false">
      <c r="A6" s="0" t="s">
        <v>26</v>
      </c>
      <c r="B6" s="0" t="n">
        <f aca="false">SUMIF(Inputs!$B$13:$B$52,Inputs!$B$8,Inputs!$C$13:$C$52)</f>
        <v>488</v>
      </c>
      <c r="C6" s="0" t="n">
        <f aca="false">SUMIF(Inputs!$B$13:$B$52,Inputs!$B$8,Inputs!$C$13:$C$52)</f>
        <v>488</v>
      </c>
      <c r="D6" s="0" t="n">
        <f aca="false">SUMIF(Inputs!$B$13:$B$52,Inputs!$B$8,Inputs!$C$13:$C$52)</f>
        <v>488</v>
      </c>
      <c r="E6" s="0" t="n">
        <f aca="false">SUMIF(Inputs!$B$13:$B$52,Inputs!$B$8,Inputs!$C$13:$C$52)</f>
        <v>488</v>
      </c>
      <c r="F6" s="0" t="n">
        <f aca="false">SUMIF(Inputs!$B$13:$B$52,Inputs!$B$8,Inputs!$C$13:$C$52)</f>
        <v>488</v>
      </c>
      <c r="G6" s="0" t="n">
        <f aca="false">SUMIF(Inputs!$B$13:$B$52,Inputs!$B$8,Inputs!$C$13:$C$52)</f>
        <v>488</v>
      </c>
      <c r="H6" s="0" t="n">
        <f aca="false">SUMIF(Inputs!$B$13:$B$52,Inputs!$B$8,Inputs!$C$13:$C$52)</f>
        <v>488</v>
      </c>
      <c r="I6" s="0" t="n">
        <f aca="false">SUMIF(Inputs!$B$13:$B$52,Inputs!$B$8,Inputs!$C$13:$C$52)</f>
        <v>488</v>
      </c>
      <c r="J6" s="0" t="n">
        <f aca="false">SUMIF(Inputs!$B$13:$B$52,Inputs!$B$8,Inputs!$C$13:$C$52)</f>
        <v>488</v>
      </c>
      <c r="K6" s="0" t="n">
        <f aca="false">SUMIF(Inputs!$B$13:$B$52,Inputs!$B$8,Inputs!$C$13:$C$52)</f>
        <v>488</v>
      </c>
      <c r="L6" s="0" t="n">
        <f aca="false">SUMIF(Inputs!$B$13:$B$52,Inputs!$B$8,Inputs!$C$13:$C$52)</f>
        <v>488</v>
      </c>
      <c r="M6" s="0" t="n">
        <f aca="false">SUMIF(Inputs!$B$13:$B$52,Inputs!$B$8,Inputs!$C$13:$C$52)</f>
        <v>488</v>
      </c>
    </row>
    <row r="7" customFormat="false" ht="15" hidden="false" customHeight="false" outlineLevel="0" collapsed="false">
      <c r="A7" s="0" t="s">
        <v>27</v>
      </c>
      <c r="B7" s="0" t="n">
        <f aca="false">SUMIFS(Inputs!$D$13:$D$52,Inputs!$B$13:$B$52,Inputs!$B$8,Inputs!$F$13:$F$52,Inputs!$B$9)</f>
        <v>719</v>
      </c>
      <c r="C7" s="0" t="n">
        <f aca="false">SUMIFS(Inputs!$D$13:$D$52,Inputs!$B$13:$B$52,Inputs!$B$8,Inputs!$F$13:$F$52,Inputs!$B$9)</f>
        <v>719</v>
      </c>
      <c r="D7" s="0" t="n">
        <f aca="false">SUMIFS(Inputs!$D$13:$D$52,Inputs!$B$13:$B$52,Inputs!$B$8,Inputs!$F$13:$F$52,Inputs!$B$9)</f>
        <v>719</v>
      </c>
      <c r="E7" s="0" t="n">
        <f aca="false">SUMIFS(Inputs!$D$13:$D$52,Inputs!$B$13:$B$52,Inputs!$B$8,Inputs!$F$13:$F$52,Inputs!$B$9)</f>
        <v>719</v>
      </c>
      <c r="F7" s="0" t="n">
        <f aca="false">SUMIFS(Inputs!$D$13:$D$52,Inputs!$B$13:$B$52,Inputs!$B$8,Inputs!$F$13:$F$52,Inputs!$B$9)</f>
        <v>719</v>
      </c>
      <c r="G7" s="0" t="n">
        <f aca="false">SUMIFS(Inputs!$D$13:$D$52,Inputs!$B$13:$B$52,Inputs!$B$8,Inputs!$F$13:$F$52,Inputs!$B$9)</f>
        <v>719</v>
      </c>
      <c r="H7" s="0" t="n">
        <f aca="false">SUMIFS(Inputs!$D$13:$D$52,Inputs!$B$13:$B$52,Inputs!$B$8,Inputs!$F$13:$F$52,Inputs!$B$9)</f>
        <v>719</v>
      </c>
      <c r="I7" s="0" t="n">
        <f aca="false">SUMIFS(Inputs!$D$13:$D$52,Inputs!$B$13:$B$52,Inputs!$B$8,Inputs!$F$13:$F$52,Inputs!$B$9)</f>
        <v>719</v>
      </c>
      <c r="J7" s="0" t="n">
        <f aca="false">SUMIFS(Inputs!$D$13:$D$52,Inputs!$B$13:$B$52,Inputs!$B$8,Inputs!$F$13:$F$52,Inputs!$B$9)</f>
        <v>719</v>
      </c>
      <c r="K7" s="0" t="n">
        <f aca="false">SUMIFS(Inputs!$D$13:$D$52,Inputs!$B$13:$B$52,Inputs!$B$8,Inputs!$F$13:$F$52,Inputs!$B$9)</f>
        <v>719</v>
      </c>
      <c r="L7" s="0" t="n">
        <f aca="false">SUMIFS(Inputs!$D$13:$D$52,Inputs!$B$13:$B$52,Inputs!$B$8,Inputs!$F$13:$F$52,Inputs!$B$9)</f>
        <v>719</v>
      </c>
      <c r="M7" s="0" t="n">
        <f aca="false">SUMIFS(Inputs!$D$13:$D$52,Inputs!$B$13:$B$52,Inputs!$B$8,Inputs!$F$13:$F$52,Inputs!$B$9)</f>
        <v>719</v>
      </c>
    </row>
    <row r="8" customFormat="false" ht="15" hidden="false" customHeight="false" outlineLevel="0" collapsed="false">
      <c r="A8" s="0" t="s">
        <v>28</v>
      </c>
      <c r="B8" s="0" t="n">
        <f aca="false">B3+B5+B6*B7+SUM(0)</f>
        <v>400872</v>
      </c>
      <c r="C8" s="0" t="n">
        <f aca="false">C3+C5+C6*C7+SUM(0)</f>
        <v>402582</v>
      </c>
      <c r="D8" s="0" t="n">
        <f aca="false">D3+D5+D6*D7+SUM(0)</f>
        <v>404368.95</v>
      </c>
      <c r="E8" s="0" t="n">
        <f aca="false">E3+E5+E6*E7+SUM(0)</f>
        <v>406236.31275</v>
      </c>
      <c r="F8" s="0" t="n">
        <f aca="false">F3+F5+F6*F7+SUM(0)</f>
        <v>408187.70682375</v>
      </c>
      <c r="G8" s="0" t="n">
        <f aca="false">G3+G5+G6*G7+SUM(0)</f>
        <v>410226.913630819</v>
      </c>
      <c r="H8" s="0" t="n">
        <f aca="false">H3+H5+H6*H7+SUM(0)</f>
        <v>412357.884744206</v>
      </c>
      <c r="I8" s="0" t="n">
        <f aca="false">I3+I5+I6*I7+SUM(0)</f>
        <v>414584.749557695</v>
      </c>
      <c r="J8" s="0" t="n">
        <f aca="false">J3+J5+J6*J7+SUM(0)</f>
        <v>416911.823287791</v>
      </c>
      <c r="K8" s="0" t="n">
        <f aca="false">K3+K5+K6*K7+SUM(0)</f>
        <v>419343.615335742</v>
      </c>
      <c r="L8" s="0" t="n">
        <f aca="false">L3+L5+L6*L7+SUM(0)</f>
        <v>421884.83802585</v>
      </c>
      <c r="M8" s="0" t="n">
        <f aca="false">M3+M5+M6*M7+SUM(0)</f>
        <v>424540.415737013</v>
      </c>
    </row>
    <row r="9" customFormat="false" ht="15" hidden="false" customHeight="false" outlineLevel="0" collapsed="false">
      <c r="A9" s="0" t="s">
        <v>29</v>
      </c>
      <c r="B9" s="0" t="n">
        <f aca="false">B2-B8</f>
        <v>-300872</v>
      </c>
      <c r="C9" s="0" t="n">
        <f aca="false">C2-C8</f>
        <v>-298082</v>
      </c>
      <c r="D9" s="0" t="n">
        <f aca="false">D2-D8</f>
        <v>-295166.45</v>
      </c>
      <c r="E9" s="0" t="n">
        <f aca="false">E2-E8</f>
        <v>-292119.70025</v>
      </c>
      <c r="F9" s="0" t="n">
        <f aca="false">F2-F8</f>
        <v>-288935.84676125</v>
      </c>
      <c r="G9" s="0" t="n">
        <f aca="false">G2-G8</f>
        <v>-285608.719865506</v>
      </c>
      <c r="H9" s="0" t="n">
        <f aca="false">H2-H8</f>
        <v>-282131.872259454</v>
      </c>
      <c r="I9" s="0" t="n">
        <f aca="false">I2-I8</f>
        <v>-278498.56651113</v>
      </c>
      <c r="J9" s="0" t="n">
        <f aca="false">J2-J8</f>
        <v>-274701.76200413</v>
      </c>
      <c r="K9" s="0" t="n">
        <f aca="false">K2-K8</f>
        <v>-270734.101294316</v>
      </c>
      <c r="L9" s="0" t="n">
        <f aca="false">L2-L8</f>
        <v>-266587.89585256</v>
      </c>
      <c r="M9" s="0" t="n">
        <f aca="false">M2-M8</f>
        <v>-262255.111165926</v>
      </c>
    </row>
    <row r="10" customFormat="false" ht="15" hidden="false" customHeight="false" outlineLevel="0" collapsed="false">
      <c r="A10" s="0" t="s">
        <v>30</v>
      </c>
      <c r="B10" s="0" t="n">
        <f aca="false">IF(B9&gt;0,B9*Inputs!$B$6,0)</f>
        <v>0</v>
      </c>
      <c r="C10" s="0" t="n">
        <f aca="false">IF(C9&gt;0,C9*Inputs!$B$6,0)</f>
        <v>0</v>
      </c>
      <c r="D10" s="0" t="n">
        <f aca="false">IF(D9&gt;0,D9*Inputs!$B$6,0)</f>
        <v>0</v>
      </c>
      <c r="E10" s="0" t="n">
        <f aca="false">IF(E9&gt;0,E9*Inputs!$B$6,0)</f>
        <v>0</v>
      </c>
      <c r="F10" s="0" t="n">
        <f aca="false">IF(F9&gt;0,F9*Inputs!$B$6,0)</f>
        <v>0</v>
      </c>
      <c r="G10" s="0" t="n">
        <f aca="false">IF(G9&gt;0,G9*Inputs!$B$6,0)</f>
        <v>0</v>
      </c>
      <c r="H10" s="0" t="n">
        <f aca="false">IF(H9&gt;0,H9*Inputs!$B$6,0)</f>
        <v>0</v>
      </c>
      <c r="I10" s="0" t="n">
        <f aca="false">IF(I9&gt;0,I9*Inputs!$B$6,0)</f>
        <v>0</v>
      </c>
      <c r="J10" s="0" t="n">
        <f aca="false">IF(J9&gt;0,J9*Inputs!$B$6,0)</f>
        <v>0</v>
      </c>
      <c r="K10" s="0" t="n">
        <f aca="false">IF(K9&gt;0,K9*Inputs!$B$6,0)</f>
        <v>0</v>
      </c>
      <c r="L10" s="0" t="n">
        <f aca="false">IF(L9&gt;0,L9*Inputs!$B$6,0)</f>
        <v>0</v>
      </c>
      <c r="M10" s="0" t="n">
        <f aca="false">IF(M9&gt;0,M9*Inputs!$B$6,0)</f>
        <v>0</v>
      </c>
    </row>
    <row r="11" customFormat="false" ht="15" hidden="false" customHeight="false" outlineLevel="0" collapsed="false">
      <c r="A11" s="0" t="s">
        <v>31</v>
      </c>
      <c r="B11" s="0" t="n">
        <f aca="false">B9-B10-B2*0.08</f>
        <v>-308872</v>
      </c>
      <c r="C11" s="0" t="n">
        <f aca="false">C9-C10-C2*0.08</f>
        <v>-306442</v>
      </c>
      <c r="D11" s="0" t="n">
        <f aca="false">D9-D10-D2*0.08</f>
        <v>-303902.65</v>
      </c>
      <c r="E11" s="0" t="n">
        <f aca="false">E9-E10-E2*0.08</f>
        <v>-301249.02925</v>
      </c>
      <c r="F11" s="0" t="n">
        <f aca="false">F9-F10-F2*0.08</f>
        <v>-298475.99556625</v>
      </c>
      <c r="G11" s="0" t="n">
        <f aca="false">G9-G10-G2*0.08</f>
        <v>-295578.175366731</v>
      </c>
      <c r="H11" s="0" t="n">
        <f aca="false">H9-H10-H2*0.08</f>
        <v>-292549.953258234</v>
      </c>
      <c r="I11" s="0" t="n">
        <f aca="false">I9-I10-I2*0.08</f>
        <v>-289385.461154855</v>
      </c>
      <c r="J11" s="0" t="n">
        <f aca="false">J9-J10-J2*0.08</f>
        <v>-286078.566906823</v>
      </c>
      <c r="K11" s="0" t="n">
        <f aca="false">K9-K10-K2*0.08</f>
        <v>-282622.86241763</v>
      </c>
      <c r="L11" s="0" t="n">
        <f aca="false">L9-L10-L2*0.08</f>
        <v>-279011.651226424</v>
      </c>
      <c r="M11" s="0" t="n">
        <f aca="false">M9-M10-M2*0.08</f>
        <v>-275237.935531613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32</v>
      </c>
      <c r="B1" s="0" t="s">
        <v>33</v>
      </c>
    </row>
    <row r="2" customFormat="false" ht="15" hidden="false" customHeight="false" outlineLevel="0" collapsed="false">
      <c r="A2" s="0" t="s">
        <v>34</v>
      </c>
      <c r="B2" s="0" t="n">
        <f aca="false">IF(SUM(Schedule!B11:M11)&gt;0,1,0)</f>
        <v>0</v>
      </c>
    </row>
    <row r="3" customFormat="false" ht="15" hidden="false" customHeight="false" outlineLevel="0" collapsed="false">
      <c r="A3" s="0" t="s">
        <v>35</v>
      </c>
      <c r="B3" s="0" t="n">
        <f aca="false">IF(Inputs!$B$3&gt;=0.05,3,IF(Inputs!$B$3&gt;=0.03,2,1))</f>
        <v>2</v>
      </c>
    </row>
    <row r="4" customFormat="false" ht="15" hidden="false" customHeight="false" outlineLevel="0" collapsed="false">
      <c r="A4" s="0" t="s">
        <v>36</v>
      </c>
      <c r="B4" s="0" t="n">
        <f aca="false">MIN(Schedule!B9:M9)</f>
        <v>-300872</v>
      </c>
    </row>
    <row r="5" customFormat="false" ht="15" hidden="false" customHeight="false" outlineLevel="0" collapsed="false">
      <c r="A5" s="0" t="s">
        <v>37</v>
      </c>
      <c r="B5" s="0" t="n">
        <f aca="false">MAX(Schedule!B9:M9)</f>
        <v>-262255.111165926</v>
      </c>
    </row>
    <row r="6" customFormat="false" ht="15" hidden="false" customHeight="false" outlineLevel="0" collapsed="false">
      <c r="A6" s="0" t="s">
        <v>38</v>
      </c>
      <c r="B6" s="0" t="n">
        <f aca="false">ROUND(AVERAGE(Schedule!B11:M11),2)</f>
        <v>-293283.86</v>
      </c>
    </row>
    <row r="7" customFormat="false" ht="15" hidden="false" customHeight="false" outlineLevel="0" collapsed="false">
      <c r="A7" s="0" t="s">
        <v>39</v>
      </c>
      <c r="B7" s="0" t="n">
        <f aca="false">VLOOKUP("Enterprise",Inputs!$B$13:$D$52,2,FALSE())</f>
        <v>20</v>
      </c>
    </row>
    <row r="8" customFormat="false" ht="15" hidden="false" customHeight="false" outlineLevel="0" collapsed="false">
      <c r="A8" s="0" t="s">
        <v>40</v>
      </c>
      <c r="B8" s="0" t="n">
        <f aca="false">INDEX(Inputs!$D$13:$D$52,MATCH("Enterprise",Inputs!$B$13:$B$52,0))</f>
        <v>125.25</v>
      </c>
    </row>
    <row r="10" customFormat="false" ht="15" hidden="false" customHeight="false" outlineLevel="0" collapsed="false">
      <c r="A10" s="0" t="s">
        <v>41</v>
      </c>
      <c r="B10" s="3" t="n">
        <f aca="false">NPV(Inputs!$B$7,Schedule!B11:M11)</f>
        <v>-2021215.15613594</v>
      </c>
    </row>
    <row r="11" customFormat="false" ht="15" hidden="false" customHeight="false" outlineLevel="0" collapsed="false">
      <c r="A11" s="0" t="s">
        <v>42</v>
      </c>
      <c r="B11" s="4" t="n">
        <f aca="false">IRR(B18:N18)</f>
        <v>0.213327376965968</v>
      </c>
    </row>
    <row r="12" customFormat="false" ht="15" hidden="false" customHeight="false" outlineLevel="0" collapsed="false">
      <c r="A12" s="0" t="s">
        <v>43</v>
      </c>
      <c r="B12" s="0" t="n">
        <f aca="false">EDATE(Inputs!$B$2,3)</f>
        <v>45777</v>
      </c>
    </row>
    <row r="13" customFormat="false" ht="15" hidden="false" customHeight="false" outlineLevel="0" collapsed="false">
      <c r="A13" s="0" t="s">
        <v>44</v>
      </c>
      <c r="B13" s="0" t="n">
        <f aca="false">EOMONTH(Inputs!$B$2,3)</f>
        <v>45777</v>
      </c>
    </row>
    <row r="14" customFormat="false" ht="15" hidden="false" customHeight="false" outlineLevel="0" collapsed="false">
      <c r="A14" s="0" t="s">
        <v>45</v>
      </c>
      <c r="B14" s="0" t="n">
        <f aca="false">COUNTIF(Inputs!$B$13:$B$52,"Enterprise")</f>
        <v>16</v>
      </c>
    </row>
    <row r="15" customFormat="false" ht="15" hidden="false" customHeight="false" outlineLevel="0" collapsed="false">
      <c r="A15" s="0" t="s">
        <v>46</v>
      </c>
      <c r="B15" s="0" t="n">
        <f aca="false">COUNTIFS(Inputs!$B$13:$B$52,"Enterprise",Inputs!$F$13:$F$52,"West")</f>
        <v>4</v>
      </c>
    </row>
    <row r="17" customFormat="false" ht="15" hidden="false" customHeight="false" outlineLevel="0" collapsed="false">
      <c r="A17" s="0" t="s">
        <v>47</v>
      </c>
    </row>
    <row r="18" customFormat="false" ht="15" hidden="false" customHeight="false" outlineLevel="0" collapsed="false">
      <c r="B18" s="0" t="n">
        <v>-100000</v>
      </c>
      <c r="C18" s="0" t="n">
        <v>16500</v>
      </c>
      <c r="D18" s="0" t="n">
        <v>18000</v>
      </c>
      <c r="E18" s="0" t="n">
        <v>20500</v>
      </c>
      <c r="F18" s="0" t="n">
        <v>23000</v>
      </c>
      <c r="G18" s="0" t="n">
        <v>25000</v>
      </c>
      <c r="H18" s="0" t="n">
        <v>27000</v>
      </c>
      <c r="I18" s="0" t="n">
        <v>29500</v>
      </c>
      <c r="J18" s="0" t="n">
        <v>31500</v>
      </c>
      <c r="K18" s="0" t="n">
        <v>34000</v>
      </c>
      <c r="L18" s="0" t="n">
        <v>36000</v>
      </c>
      <c r="M18" s="0" t="n">
        <v>38500</v>
      </c>
      <c r="N18" s="0" t="n">
        <v>41000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2026-09-08T05:33:27Z</dcterms:created>
  <dc:creator>openpyxl</dc:creator>
  <dc:description/>
  <dc:language>en-US</dc:language>
  <cp:lastModifiedBy/>
  <dcterms:modified xsi:type="dcterms:W3CDTF">2026-09-08T05:33:27Z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